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01_Assumptions" sheetId="2" state="visible" r:id="rId2"/>
    <sheet name="02_Unit_P&amp;L" sheetId="3" state="visible" r:id="rId3"/>
    <sheet name="03_Channel_View" sheetId="4" state="visible" r:id="rId4"/>
    <sheet name="04_Cohort_or_Ramp" sheetId="5" state="visible" r:id="rId5"/>
    <sheet name="05_Dashboard" sheetId="6" state="visible" r:id="rId6"/>
    <sheet name="06_Data_Dictionary" sheetId="7" state="visible" r:id="rId7"/>
  </sheets>
  <definedNames>
    <definedName name="_xlnm.Print_Area" localSheetId="5">'05_Dashboard'!$A$1:$M$40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_($* #,##0.00_);_($* (#,##0.00);_($* &quot;-&quot;??_);_(@_)"/>
    <numFmt numFmtId="165" formatCode="_($* #,##0_);_($* (#,##0);_($* &quot;-&quot;??_);_(@_)"/>
    <numFmt numFmtId="166" formatCode="0.0%"/>
    <numFmt numFmtId="167" formatCode="#,##0.0"/>
  </numFmts>
  <fonts count="1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2E75B6"/>
      <sz val="14"/>
    </font>
    <font>
      <name val="Calibri"/>
      <i val="1"/>
      <color rgb="00666666"/>
      <sz val="10"/>
    </font>
    <font>
      <name val="Calibri"/>
      <b val="1"/>
      <color rgb="001F4E79"/>
      <sz val="12"/>
    </font>
    <font>
      <name val="Calibri"/>
      <color rgb="00000000"/>
      <sz val="11"/>
    </font>
    <font>
      <name val="Calibri"/>
      <color rgb="000000FF"/>
      <sz val="11"/>
    </font>
    <font>
      <name val="Calibri"/>
      <b val="1"/>
      <sz val="11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FFFFFF"/>
      <sz val="18"/>
    </font>
    <font>
      <name val="Calibri"/>
      <color rgb="00D6E3F0"/>
      <sz val="11"/>
    </font>
    <font>
      <name val="Calibri"/>
      <b val="1"/>
      <color rgb="001F4E79"/>
      <sz val="9"/>
    </font>
    <font>
      <name val="Calibri"/>
      <b val="1"/>
      <color rgb="00000000"/>
      <sz val="14"/>
    </font>
    <font>
      <name val="Calibri"/>
      <i val="1"/>
      <color rgb="00D6E3F0"/>
      <sz val="8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0D2B4A"/>
      </patternFill>
    </fill>
    <fill>
      <patternFill patternType="solid">
        <fgColor rgb="00E9EDF4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3" borderId="1" pivotButton="0" quotePrefix="0" xfId="0"/>
    <xf numFmtId="0" fontId="7" fillId="0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/>
    </xf>
    <xf numFmtId="164" fontId="6" fillId="2" borderId="1" applyAlignment="1" pivotButton="0" quotePrefix="0" xfId="0">
      <alignment horizontal="center"/>
    </xf>
    <xf numFmtId="165" fontId="6" fillId="2" borderId="1" applyAlignment="1" pivotButton="0" quotePrefix="0" xfId="0">
      <alignment horizontal="center"/>
    </xf>
    <xf numFmtId="3" fontId="6" fillId="2" borderId="1" applyAlignment="1" pivotButton="0" quotePrefix="0" xfId="0">
      <alignment horizontal="center"/>
    </xf>
    <xf numFmtId="166" fontId="6" fillId="2" borderId="1" applyAlignment="1" pivotButton="0" quotePrefix="0" xfId="0">
      <alignment horizontal="center"/>
    </xf>
    <xf numFmtId="0" fontId="8" fillId="0" borderId="1" pivotButton="0" quotePrefix="0" xfId="0"/>
    <xf numFmtId="166" fontId="5" fillId="0" borderId="1" applyAlignment="1" pivotButton="0" quotePrefix="0" xfId="0">
      <alignment horizontal="center"/>
    </xf>
    <xf numFmtId="0" fontId="4" fillId="5" borderId="0" pivotButton="0" quotePrefix="0" xfId="0"/>
    <xf numFmtId="0" fontId="5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164" fontId="10" fillId="3" borderId="1" applyAlignment="1" pivotButton="0" quotePrefix="0" xfId="0">
      <alignment horizontal="center"/>
    </xf>
    <xf numFmtId="166" fontId="10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165" fontId="10" fillId="3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10" fillId="0" borderId="1" pivotButton="0" quotePrefix="0" xfId="0"/>
    <xf numFmtId="3" fontId="10" fillId="3" borderId="1" applyAlignment="1" pivotButton="0" quotePrefix="0" xfId="0">
      <alignment horizontal="center"/>
    </xf>
    <xf numFmtId="167" fontId="6" fillId="2" borderId="1" applyAlignment="1" pivotButton="0" quotePrefix="0" xfId="0">
      <alignment horizontal="center"/>
    </xf>
    <xf numFmtId="167" fontId="10" fillId="3" borderId="1" applyAlignment="1" pivotButton="0" quotePrefix="0" xfId="0">
      <alignment horizontal="center"/>
    </xf>
    <xf numFmtId="0" fontId="11" fillId="6" borderId="0" pivotButton="0" quotePrefix="0" xfId="0"/>
    <xf numFmtId="0" fontId="12" fillId="6" borderId="0" pivotButton="0" quotePrefix="0" xfId="0"/>
    <xf numFmtId="0" fontId="13" fillId="7" borderId="1" applyAlignment="1" pivotButton="0" quotePrefix="0" xfId="0">
      <alignment horizontal="center"/>
    </xf>
    <xf numFmtId="0" fontId="0" fillId="7" borderId="1" pivotButton="0" quotePrefix="0" xfId="0"/>
    <xf numFmtId="166" fontId="14" fillId="0" borderId="1" applyAlignment="1" pivotButton="0" quotePrefix="0" xfId="0">
      <alignment horizontal="center"/>
    </xf>
    <xf numFmtId="165" fontId="14" fillId="0" borderId="1" applyAlignment="1" pivotButton="0" quotePrefix="0" xfId="0">
      <alignment horizontal="center"/>
    </xf>
    <xf numFmtId="1" fontId="14" fillId="0" borderId="1" applyAlignment="1" pivotButton="0" quotePrefix="0" xfId="0">
      <alignment horizontal="center"/>
    </xf>
    <xf numFmtId="1" fontId="10" fillId="3" borderId="1" applyAlignment="1" pivotButton="0" quotePrefix="0" xfId="0">
      <alignment horizontal="center"/>
    </xf>
    <xf numFmtId="165" fontId="0" fillId="0" borderId="0" pivotButton="0" quotePrefix="0" xfId="0"/>
    <xf numFmtId="0" fontId="15" fillId="6" borderId="0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Cumulative net contribution ($000s)</a:t>
            </a:r>
          </a:p>
        </rich>
      </tx>
    </title>
    <plotArea>
      <lineChart>
        <grouping val="standard"/>
        <ser>
          <idx val="0"/>
          <order val="0"/>
          <tx>
            <strRef>
              <f>'04_Cohort_or_Ramp'!B18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'04_Cohort_or_Ramp'!$C$12:$N$12</f>
            </numRef>
          </cat>
          <val>
            <numRef>
              <f>'04_Cohort_or_Ramp'!$C$18:$N$18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$000s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contribution vs launch spend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'04_Cohort_or_Ramp'!B14</f>
            </strRef>
          </tx>
          <spPr>
            <a:ln>
              <a:prstDash val="solid"/>
            </a:ln>
          </spPr>
          <cat>
            <numRef>
              <f>'04_Cohort_or_Ramp'!$C$12:$N$12</f>
            </numRef>
          </cat>
          <val>
            <numRef>
              <f>'04_Cohort_or_Ramp'!$C$14:$N$14</f>
            </numRef>
          </val>
        </ser>
        <ser>
          <idx val="1"/>
          <order val="1"/>
          <tx>
            <strRef>
              <f>'04_Cohort_or_Ramp'!B15</f>
            </strRef>
          </tx>
          <spPr>
            <a:ln>
              <a:prstDash val="solid"/>
            </a:ln>
          </spPr>
          <cat>
            <numRef>
              <f>'04_Cohort_or_Ramp'!$C$12:$N$12</f>
            </numRef>
          </cat>
          <val>
            <numRef>
              <f>'04_Cohort_or_Ramp'!$C$15:$N$15</f>
            </numRef>
          </val>
        </ser>
        <ser>
          <idx val="2"/>
          <order val="2"/>
          <tx>
            <strRef>
              <f>'04_Cohort_or_Ramp'!B16</f>
            </strRef>
          </tx>
          <spPr>
            <a:ln>
              <a:prstDash val="solid"/>
            </a:ln>
          </spPr>
          <cat>
            <numRef>
              <f>'04_Cohort_or_Ramp'!$C$12:$N$12</f>
            </numRef>
          </cat>
          <val>
            <numRef>
              <f>'04_Cohort_or_Ramp'!$C$16:$N$16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Annual contribution by SKU ($000s)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'05_Dashboard'!C21</f>
            </strRef>
          </tx>
          <spPr>
            <a:ln>
              <a:prstDash val="solid"/>
            </a:ln>
          </spPr>
          <cat>
            <numRef>
              <f>'05_Dashboard'!$B$22:$B$27</f>
            </numRef>
          </cat>
          <val>
            <numRef>
              <f>'05_Dashboard'!$C$22:$C$27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26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41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28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55" customWidth="1" min="3" max="3"/>
    <col width="18" customWidth="1" min="4" max="4"/>
    <col width="18" customWidth="1" min="5" max="5"/>
  </cols>
  <sheetData>
    <row r="2">
      <c r="B2" s="1" t="inlineStr">
        <is>
          <t>NORTHLINE CONSUMER PRODUCTS</t>
        </is>
      </c>
    </row>
    <row r="3">
      <c r="B3" s="2" t="inlineStr">
        <is>
          <t>Unit Economics Workbook — SKU contribution, channel view, launch ramp</t>
        </is>
      </c>
    </row>
    <row r="4">
      <c r="B4" s="3" t="inlineStr">
        <is>
          <t>Fictional CPG portfolio sample  ·  per-unit $ and $000s  ·  formulas only (no VBA)</t>
        </is>
      </c>
    </row>
    <row r="6">
      <c r="B6" s="4" t="inlineStr">
        <is>
          <t>Purpose</t>
        </is>
      </c>
    </row>
    <row r="7" ht="42" customHeight="1">
      <c r="B7" s="5" t="inlineStr">
        <is>
          <t>Per-SKU unit P&amp;L (price → contribution), channel mix and contribution, and a 12-month ramp / payback on the launch SKU (NL-Probiotic Bar). Built so FP&amp;A can stress price, COGS, and CAC before a category review.</t>
        </is>
      </c>
    </row>
    <row r="9">
      <c r="B9" s="4" t="inlineStr">
        <is>
          <t>How to use</t>
        </is>
      </c>
    </row>
    <row r="10">
      <c r="B10" s="6" t="inlineStr">
        <is>
          <t>1. Open 01_Assumptions — edit SKU price, COGS, variable selling, slotting, and annual volume (yellow).</t>
        </is>
      </c>
    </row>
    <row r="11">
      <c r="B11" s="6" t="inlineStr">
        <is>
          <t>2. Read 02_Unit_P&amp;L — per-unit contribution and contribution margin % by SKU (formulas).</t>
        </is>
      </c>
    </row>
    <row r="12">
      <c r="B12" s="6" t="inlineStr">
        <is>
          <t>3. Review 03_Channel_View — mix and channel contribution; fees are yellow inputs.</t>
        </is>
      </c>
    </row>
    <row r="13">
      <c r="B13" s="6" t="inlineStr">
        <is>
          <t>4. Stress 04_Cohort_or_Ramp — 12-month volume ramp and cumulative payback on the launch SKU.</t>
        </is>
      </c>
    </row>
    <row r="14">
      <c r="B14" s="6" t="inlineStr">
        <is>
          <t>5. Use 05_Dashboard as the one-pager for a category or innovation review.</t>
        </is>
      </c>
    </row>
    <row r="16">
      <c r="B16" s="4" t="inlineStr">
        <is>
          <t>Color convention</t>
        </is>
      </c>
    </row>
    <row r="17">
      <c r="B17" s="7" t="inlineStr">
        <is>
          <t>Yellow fill + blue font</t>
        </is>
      </c>
      <c r="C17" s="6">
        <f> inputs (edit these)</f>
        <v/>
      </c>
    </row>
    <row r="18">
      <c r="B18" s="8" t="inlineStr">
        <is>
          <t>Black font</t>
        </is>
      </c>
      <c r="C18" s="6">
        <f> formulas (do not overwrite)</f>
        <v/>
      </c>
    </row>
    <row r="19">
      <c r="B19" s="9" t="inlineStr">
        <is>
          <t>Green highlight</t>
        </is>
      </c>
      <c r="C19" s="6">
        <f> key outputs (contribution, payback)</f>
        <v/>
      </c>
    </row>
    <row r="21">
      <c r="B21" s="4" t="inlineStr">
        <is>
          <t>Tabs</t>
        </is>
      </c>
    </row>
    <row r="22">
      <c r="B22" s="10" t="inlineStr">
        <is>
          <t>00_Cover</t>
        </is>
      </c>
      <c r="C22" s="11" t="inlineStr">
        <is>
          <t>Purpose and navigation</t>
        </is>
      </c>
      <c r="D22" s="12" t="n"/>
      <c r="E22" s="13" t="n"/>
    </row>
    <row r="23">
      <c r="B23" s="10" t="inlineStr">
        <is>
          <t>01_Assumptions</t>
        </is>
      </c>
      <c r="C23" s="11" t="inlineStr">
        <is>
          <t>SKU list, price, COGS, var selling, slotting, volume</t>
        </is>
      </c>
      <c r="D23" s="12" t="n"/>
      <c r="E23" s="13" t="n"/>
    </row>
    <row r="24">
      <c r="B24" s="10" t="inlineStr">
        <is>
          <t>02_Unit_P&amp;L</t>
        </is>
      </c>
      <c r="C24" s="11" t="inlineStr">
        <is>
          <t>Per-unit contribution by SKU</t>
        </is>
      </c>
      <c r="D24" s="12" t="n"/>
      <c r="E24" s="13" t="n"/>
    </row>
    <row r="25">
      <c r="B25" s="10" t="inlineStr">
        <is>
          <t>03_Channel_View</t>
        </is>
      </c>
      <c r="C25" s="11" t="inlineStr">
        <is>
          <t>Channel mix and contribution</t>
        </is>
      </c>
      <c r="D25" s="12" t="n"/>
      <c r="E25" s="13" t="n"/>
    </row>
    <row r="26">
      <c r="B26" s="10" t="inlineStr">
        <is>
          <t>04_Cohort_or_Ramp</t>
        </is>
      </c>
      <c r="C26" s="11" t="inlineStr">
        <is>
          <t>12-month launch ramp / payback</t>
        </is>
      </c>
      <c r="D26" s="12" t="n"/>
      <c r="E26" s="13" t="n"/>
    </row>
    <row r="27">
      <c r="B27" s="10" t="inlineStr">
        <is>
          <t>05_Dashboard</t>
        </is>
      </c>
      <c r="C27" s="11" t="inlineStr">
        <is>
          <t>Dashboard one-pager</t>
        </is>
      </c>
      <c r="D27" s="12" t="n"/>
      <c r="E27" s="13" t="n"/>
    </row>
    <row r="28">
      <c r="B28" s="10" t="inlineStr">
        <is>
          <t>06_Data_Dictionary</t>
        </is>
      </c>
      <c r="C28" s="11" t="inlineStr">
        <is>
          <t>Field definitions</t>
        </is>
      </c>
      <c r="D28" s="12" t="n"/>
      <c r="E28" s="13" t="n"/>
    </row>
    <row r="30">
      <c r="B30" s="14" t="inlineStr">
        <is>
          <t>Sai Siri Bandaru — Financial Analyst | FP&amp;A | forecasting, variance analysis, Excel</t>
        </is>
      </c>
    </row>
    <row r="31">
      <c r="B31" s="14" t="inlineStr">
        <is>
          <t>All sample numbers are fictional. No employer data.</t>
        </is>
      </c>
    </row>
  </sheetData>
  <mergeCells count="16">
    <mergeCell ref="C28:E28"/>
    <mergeCell ref="C27:E27"/>
    <mergeCell ref="B4:E4"/>
    <mergeCell ref="B12:E12"/>
    <mergeCell ref="B13:E13"/>
    <mergeCell ref="C23:E23"/>
    <mergeCell ref="C22:E22"/>
    <mergeCell ref="B7:E7"/>
    <mergeCell ref="B11:E11"/>
    <mergeCell ref="C26:E26"/>
    <mergeCell ref="B3:E3"/>
    <mergeCell ref="B2:E2"/>
    <mergeCell ref="B10:E10"/>
    <mergeCell ref="C25:E25"/>
    <mergeCell ref="B14:E14"/>
    <mergeCell ref="C24:E24"/>
  </mergeCells>
  <pageMargins left="0.75" right="0.75" top="1" bottom="1" header="0.5" footer="0.5"/>
  <pageSetup orientation="landscape" paperSize="1" fitToHeight="1" fitToWidth="1"/>
  <headerFooter>
    <oddHeader/>
    <oddFooter>&amp;LNorthline Consumer Products  |  fictional sample  |  $000s where noted&amp;RCONFIDENTIAL — portfolio sample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K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6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0" customWidth="1" min="9" max="9"/>
    <col width="12" customWidth="1" min="10" max="10"/>
    <col width="36" customWidth="1" min="11" max="11"/>
  </cols>
  <sheetData>
    <row r="2">
      <c r="B2" s="1" t="inlineStr">
        <is>
          <t>01  ·  Assumptions</t>
        </is>
      </c>
    </row>
    <row r="3">
      <c r="B3" s="3" t="inlineStr">
        <is>
          <t>SKU economics inputs. Yellow = edit. Downstream tabs are formulas.</t>
        </is>
      </c>
    </row>
    <row r="5">
      <c r="B5" t="inlineStr">
        <is>
          <t>Company</t>
        </is>
      </c>
      <c r="C5" s="7" t="inlineStr">
        <is>
          <t>Northline Consumer Products</t>
        </is>
      </c>
      <c r="D5" s="12" t="n"/>
      <c r="E5" s="13" t="n"/>
    </row>
    <row r="6">
      <c r="B6" t="inlineStr">
        <is>
          <t>Fiscal year</t>
        </is>
      </c>
      <c r="C6" s="7" t="inlineStr">
        <is>
          <t>FY26</t>
        </is>
      </c>
    </row>
    <row r="7">
      <c r="B7" t="inlineStr">
        <is>
          <t>Currency / units</t>
        </is>
      </c>
      <c r="C7" s="7" t="inlineStr">
        <is>
          <t>USD; volume in 000 units; slotting in $000s</t>
        </is>
      </c>
      <c r="D7" s="12" t="n"/>
      <c r="E7" s="12" t="n"/>
      <c r="F7" s="13" t="n"/>
    </row>
    <row r="9" ht="32" customHeight="1">
      <c r="B9" s="15" t="inlineStr">
        <is>
          <t>SKU</t>
        </is>
      </c>
      <c r="C9" s="15" t="inlineStr">
        <is>
          <t>Product</t>
        </is>
      </c>
      <c r="D9" s="15" t="inlineStr">
        <is>
          <t>Price $</t>
        </is>
      </c>
      <c r="E9" s="15" t="inlineStr">
        <is>
          <t>COGS $</t>
        </is>
      </c>
      <c r="F9" s="15" t="inlineStr">
        <is>
          <t>Var sell $</t>
        </is>
      </c>
      <c r="G9" s="15" t="inlineStr">
        <is>
          <t>Slotting $000</t>
        </is>
      </c>
      <c r="H9" s="15" t="inlineStr">
        <is>
          <t>Ann vol (000)</t>
        </is>
      </c>
      <c r="I9" s="15" t="inlineStr">
        <is>
          <t>Launch?</t>
        </is>
      </c>
      <c r="J9" s="15" t="inlineStr">
        <is>
          <t>WACC / hurdle</t>
        </is>
      </c>
      <c r="K9" s="15" t="inlineStr">
        <is>
          <t>Notes</t>
        </is>
      </c>
    </row>
    <row r="10">
      <c r="B10" s="7" t="inlineStr">
        <is>
          <t>NL-CRUNCH</t>
        </is>
      </c>
      <c r="C10" s="16" t="inlineStr">
        <is>
          <t>Northline Crunch Bar</t>
        </is>
      </c>
      <c r="D10" s="17" t="n">
        <v>2.49</v>
      </c>
      <c r="E10" s="17" t="n">
        <v>0.92</v>
      </c>
      <c r="F10" s="17" t="n">
        <v>0.18</v>
      </c>
      <c r="G10" s="18" t="n">
        <v>85</v>
      </c>
      <c r="H10" s="19" t="n">
        <v>4200</v>
      </c>
      <c r="I10" s="7" t="inlineStr">
        <is>
          <t>N</t>
        </is>
      </c>
      <c r="J10" s="20" t="n">
        <v>0.1</v>
      </c>
      <c r="K10" s="21" t="inlineStr">
        <is>
          <t>Core assortment</t>
        </is>
      </c>
    </row>
    <row r="11">
      <c r="B11" s="7" t="inlineStr">
        <is>
          <t>NL-PROTEIN</t>
        </is>
      </c>
      <c r="C11" s="16" t="inlineStr">
        <is>
          <t>Protein Trail Mix</t>
        </is>
      </c>
      <c r="D11" s="17" t="n">
        <v>4.99</v>
      </c>
      <c r="E11" s="17" t="n">
        <v>1.85</v>
      </c>
      <c r="F11" s="17" t="n">
        <v>0.35</v>
      </c>
      <c r="G11" s="18" t="n">
        <v>120</v>
      </c>
      <c r="H11" s="19" t="n">
        <v>2100</v>
      </c>
      <c r="I11" s="7" t="inlineStr">
        <is>
          <t>N</t>
        </is>
      </c>
      <c r="J11" s="22">
        <f>J10</f>
        <v/>
      </c>
      <c r="K11" s="21" t="inlineStr">
        <is>
          <t>Core assortment</t>
        </is>
      </c>
    </row>
    <row r="12">
      <c r="B12" s="7" t="inlineStr">
        <is>
          <t>NL-OAT</t>
        </is>
      </c>
      <c r="C12" s="16" t="inlineStr">
        <is>
          <t>Overnight Oats Cup</t>
        </is>
      </c>
      <c r="D12" s="17" t="n">
        <v>3.29</v>
      </c>
      <c r="E12" s="17" t="n">
        <v>1.15</v>
      </c>
      <c r="F12" s="17" t="n">
        <v>0.22</v>
      </c>
      <c r="G12" s="18" t="n">
        <v>95</v>
      </c>
      <c r="H12" s="19" t="n">
        <v>3100</v>
      </c>
      <c r="I12" s="7" t="inlineStr">
        <is>
          <t>N</t>
        </is>
      </c>
      <c r="J12" s="22">
        <f>J10</f>
        <v/>
      </c>
      <c r="K12" s="21" t="inlineStr">
        <is>
          <t>Core assortment</t>
        </is>
      </c>
    </row>
    <row r="13">
      <c r="B13" s="7" t="inlineStr">
        <is>
          <t>NL-KIDS</t>
        </is>
      </c>
      <c r="C13" s="16" t="inlineStr">
        <is>
          <t>Kids Fruit Bites</t>
        </is>
      </c>
      <c r="D13" s="17" t="n">
        <v>2.99</v>
      </c>
      <c r="E13" s="17" t="n">
        <v>1.05</v>
      </c>
      <c r="F13" s="17" t="n">
        <v>0.28</v>
      </c>
      <c r="G13" s="18" t="n">
        <v>150</v>
      </c>
      <c r="H13" s="19" t="n">
        <v>2800</v>
      </c>
      <c r="I13" s="7" t="inlineStr">
        <is>
          <t>N</t>
        </is>
      </c>
      <c r="J13" s="22">
        <f>J10</f>
        <v/>
      </c>
      <c r="K13" s="21" t="inlineStr">
        <is>
          <t>Core assortment</t>
        </is>
      </c>
    </row>
    <row r="14">
      <c r="B14" s="7" t="inlineStr">
        <is>
          <t>NL-PROBIO</t>
        </is>
      </c>
      <c r="C14" s="16" t="inlineStr">
        <is>
          <t>Probiotic Bar (launch)</t>
        </is>
      </c>
      <c r="D14" s="17" t="n">
        <v>3.79</v>
      </c>
      <c r="E14" s="17" t="n">
        <v>1.42</v>
      </c>
      <c r="F14" s="17" t="n">
        <v>0.4</v>
      </c>
      <c r="G14" s="18" t="n">
        <v>220</v>
      </c>
      <c r="H14" s="19" t="n">
        <v>900</v>
      </c>
      <c r="I14" s="7" t="inlineStr">
        <is>
          <t>Y</t>
        </is>
      </c>
      <c r="J14" s="22">
        <f>J10</f>
        <v/>
      </c>
      <c r="K14" s="21" t="inlineStr">
        <is>
          <t>Launch SKU — see ramp tab</t>
        </is>
      </c>
    </row>
    <row r="15">
      <c r="B15" s="7" t="inlineStr">
        <is>
          <t>NL-COLD</t>
        </is>
      </c>
      <c r="C15" s="16" t="inlineStr">
        <is>
          <t>Cold Brew RTD</t>
        </is>
      </c>
      <c r="D15" s="17" t="n">
        <v>2.79</v>
      </c>
      <c r="E15" s="17" t="n">
        <v>0.88</v>
      </c>
      <c r="F15" s="17" t="n">
        <v>0.25</v>
      </c>
      <c r="G15" s="18" t="n">
        <v>110</v>
      </c>
      <c r="H15" s="19" t="n">
        <v>3500</v>
      </c>
      <c r="I15" s="7" t="inlineStr">
        <is>
          <t>N</t>
        </is>
      </c>
      <c r="J15" s="22">
        <f>J10</f>
        <v/>
      </c>
      <c r="K15" s="21" t="inlineStr">
        <is>
          <t>Core assortment</t>
        </is>
      </c>
    </row>
    <row r="17">
      <c r="B17" s="23" t="inlineStr">
        <is>
          <t>Global toggles</t>
        </is>
      </c>
    </row>
    <row r="18">
      <c r="B18" t="inlineStr">
        <is>
          <t>Price stress %</t>
        </is>
      </c>
      <c r="C18" s="20" t="n">
        <v>0</v>
      </c>
      <c r="D18" s="14" t="inlineStr">
        <is>
          <t>Applied on Unit P&amp;L as Price × (1 + stress)</t>
        </is>
      </c>
    </row>
    <row r="19">
      <c r="B19" t="inlineStr">
        <is>
          <t>COGS stress %</t>
        </is>
      </c>
      <c r="C19" s="20" t="n">
        <v>0</v>
      </c>
      <c r="D19" s="14" t="inlineStr">
        <is>
          <t>Applied on Unit P&amp;L as COGS × (1 + stress)</t>
        </is>
      </c>
    </row>
    <row r="20">
      <c r="B20" t="inlineStr">
        <is>
          <t>Target contribution margin %</t>
        </is>
      </c>
      <c r="C20" s="20" t="n">
        <v>0.35</v>
      </c>
      <c r="D20" s="14" t="inlineStr">
        <is>
          <t>Used for RAG on Unit P&amp;L and Dashboard</t>
        </is>
      </c>
    </row>
    <row r="21">
      <c r="B21" t="inlineStr">
        <is>
          <t>Payback hurdle (months)</t>
        </is>
      </c>
      <c r="C21" s="7" t="n">
        <v>12</v>
      </c>
      <c r="D21" s="14" t="inlineStr">
        <is>
          <t>Launch SKU cumulative contribution vs slotting+CAC</t>
        </is>
      </c>
    </row>
    <row r="23">
      <c r="B23" s="14" t="inlineStr">
        <is>
          <t>Per-unit $ are shelf / list before channel fees. Slotting is annualized $000s (one-time for launch on ramp tab).</t>
        </is>
      </c>
    </row>
  </sheetData>
  <mergeCells count="3">
    <mergeCell ref="B17:D17"/>
    <mergeCell ref="C7:F7"/>
    <mergeCell ref="C5:E5"/>
  </mergeCells>
  <pageMargins left="0.75" right="0.75" top="1" bottom="1" header="0.5" footer="0.5"/>
  <pageSetup orientation="landscape" paperSize="1" fitToHeight="1" fitToWidth="1"/>
  <headerFooter>
    <oddHeader/>
    <oddFooter>&amp;LNorthline Consumer Products  |  fictional sample  |  $000s where noted&amp;RCONFIDENTIAL — portfolio sample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N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2" customWidth="1" min="12" max="12"/>
    <col width="14" customWidth="1" min="13" max="13"/>
  </cols>
  <sheetData>
    <row r="2">
      <c r="B2" s="1" t="inlineStr">
        <is>
          <t>02  ·  Unit P&amp;L</t>
        </is>
      </c>
    </row>
    <row r="3">
      <c r="B3" s="3" t="inlineStr">
        <is>
          <t>Per-unit bridge: stressed price → COGS → var sell → contribution. Annual $000s = unit × volume.</t>
        </is>
      </c>
    </row>
    <row r="5" ht="36" customHeight="1">
      <c r="B5" s="15" t="inlineStr">
        <is>
          <t>SKU</t>
        </is>
      </c>
      <c r="C5" s="15" t="inlineStr">
        <is>
          <t>Product</t>
        </is>
      </c>
      <c r="D5" s="15" t="inlineStr">
        <is>
          <t>Price $</t>
        </is>
      </c>
      <c r="E5" s="15" t="inlineStr">
        <is>
          <t>COGS $</t>
        </is>
      </c>
      <c r="F5" s="15" t="inlineStr">
        <is>
          <t>Var sell $</t>
        </is>
      </c>
      <c r="G5" s="15" t="inlineStr">
        <is>
          <t>Unit contrib $</t>
        </is>
      </c>
      <c r="H5" s="15" t="inlineStr">
        <is>
          <t>CM %</t>
        </is>
      </c>
      <c r="I5" s="15" t="inlineStr">
        <is>
          <t>vs Target</t>
        </is>
      </c>
      <c r="J5" s="15" t="inlineStr">
        <is>
          <t>RAG</t>
        </is>
      </c>
      <c r="K5" s="15" t="inlineStr">
        <is>
          <t>Ann vol (000)</t>
        </is>
      </c>
      <c r="L5" s="15" t="inlineStr">
        <is>
          <t>Ann contrib $000</t>
        </is>
      </c>
      <c r="M5" s="15" t="inlineStr">
        <is>
          <t>Slotting $000</t>
        </is>
      </c>
      <c r="N5" s="15" t="inlineStr">
        <is>
          <t>Ann CM after slot $000</t>
        </is>
      </c>
    </row>
    <row r="6">
      <c r="B6" s="8">
        <f>'01_Assumptions'!B10</f>
        <v/>
      </c>
      <c r="C6" s="24">
        <f>'01_Assumptions'!C10</f>
        <v/>
      </c>
      <c r="D6" s="25">
        <f>'01_Assumptions'!D10*(1+'01_Assumptions'!C18)</f>
        <v/>
      </c>
      <c r="E6" s="25">
        <f>'01_Assumptions'!E10*(1+'01_Assumptions'!C19)</f>
        <v/>
      </c>
      <c r="F6" s="25">
        <f>'01_Assumptions'!F10</f>
        <v/>
      </c>
      <c r="G6" s="26">
        <f>D6-E6-F6</f>
        <v/>
      </c>
      <c r="H6" s="27">
        <f>IF(D6=0,0,G6/D6)</f>
        <v/>
      </c>
      <c r="I6" s="22">
        <f>H6-'01_Assumptions'!C20</f>
        <v/>
      </c>
      <c r="J6" s="28">
        <f>IF(H6&gt;='01_Assumptions'!C20,"Green",IF(H6&gt;='01_Assumptions'!C20-0.05,"Amber","Red"))</f>
        <v/>
      </c>
      <c r="K6" s="29">
        <f>'01_Assumptions'!H10</f>
        <v/>
      </c>
      <c r="L6" s="30">
        <f>G6*K6</f>
        <v/>
      </c>
      <c r="M6" s="31">
        <f>'01_Assumptions'!G10</f>
        <v/>
      </c>
      <c r="N6" s="30">
        <f>L6-M6</f>
        <v/>
      </c>
    </row>
    <row r="7">
      <c r="B7" s="8">
        <f>'01_Assumptions'!B11</f>
        <v/>
      </c>
      <c r="C7" s="24">
        <f>'01_Assumptions'!C11</f>
        <v/>
      </c>
      <c r="D7" s="25">
        <f>'01_Assumptions'!D11*(1+'01_Assumptions'!C18)</f>
        <v/>
      </c>
      <c r="E7" s="25">
        <f>'01_Assumptions'!E11*(1+'01_Assumptions'!C19)</f>
        <v/>
      </c>
      <c r="F7" s="25">
        <f>'01_Assumptions'!F11</f>
        <v/>
      </c>
      <c r="G7" s="26">
        <f>D7-E7-F7</f>
        <v/>
      </c>
      <c r="H7" s="27">
        <f>IF(D7=0,0,G7/D7)</f>
        <v/>
      </c>
      <c r="I7" s="22">
        <f>H7-'01_Assumptions'!C20</f>
        <v/>
      </c>
      <c r="J7" s="28">
        <f>IF(H7&gt;='01_Assumptions'!C20,"Green",IF(H7&gt;='01_Assumptions'!C20-0.05,"Amber","Red"))</f>
        <v/>
      </c>
      <c r="K7" s="29">
        <f>'01_Assumptions'!H11</f>
        <v/>
      </c>
      <c r="L7" s="30">
        <f>G7*K7</f>
        <v/>
      </c>
      <c r="M7" s="31">
        <f>'01_Assumptions'!G11</f>
        <v/>
      </c>
      <c r="N7" s="30">
        <f>L7-M7</f>
        <v/>
      </c>
    </row>
    <row r="8">
      <c r="B8" s="8">
        <f>'01_Assumptions'!B12</f>
        <v/>
      </c>
      <c r="C8" s="24">
        <f>'01_Assumptions'!C12</f>
        <v/>
      </c>
      <c r="D8" s="25">
        <f>'01_Assumptions'!D12*(1+'01_Assumptions'!C18)</f>
        <v/>
      </c>
      <c r="E8" s="25">
        <f>'01_Assumptions'!E12*(1+'01_Assumptions'!C19)</f>
        <v/>
      </c>
      <c r="F8" s="25">
        <f>'01_Assumptions'!F12</f>
        <v/>
      </c>
      <c r="G8" s="26">
        <f>D8-E8-F8</f>
        <v/>
      </c>
      <c r="H8" s="27">
        <f>IF(D8=0,0,G8/D8)</f>
        <v/>
      </c>
      <c r="I8" s="22">
        <f>H8-'01_Assumptions'!C20</f>
        <v/>
      </c>
      <c r="J8" s="28">
        <f>IF(H8&gt;='01_Assumptions'!C20,"Green",IF(H8&gt;='01_Assumptions'!C20-0.05,"Amber","Red"))</f>
        <v/>
      </c>
      <c r="K8" s="29">
        <f>'01_Assumptions'!H12</f>
        <v/>
      </c>
      <c r="L8" s="30">
        <f>G8*K8</f>
        <v/>
      </c>
      <c r="M8" s="31">
        <f>'01_Assumptions'!G12</f>
        <v/>
      </c>
      <c r="N8" s="30">
        <f>L8-M8</f>
        <v/>
      </c>
    </row>
    <row r="9">
      <c r="B9" s="8">
        <f>'01_Assumptions'!B13</f>
        <v/>
      </c>
      <c r="C9" s="24">
        <f>'01_Assumptions'!C13</f>
        <v/>
      </c>
      <c r="D9" s="25">
        <f>'01_Assumptions'!D13*(1+'01_Assumptions'!C18)</f>
        <v/>
      </c>
      <c r="E9" s="25">
        <f>'01_Assumptions'!E13*(1+'01_Assumptions'!C19)</f>
        <v/>
      </c>
      <c r="F9" s="25">
        <f>'01_Assumptions'!F13</f>
        <v/>
      </c>
      <c r="G9" s="26">
        <f>D9-E9-F9</f>
        <v/>
      </c>
      <c r="H9" s="27">
        <f>IF(D9=0,0,G9/D9)</f>
        <v/>
      </c>
      <c r="I9" s="22">
        <f>H9-'01_Assumptions'!C20</f>
        <v/>
      </c>
      <c r="J9" s="28">
        <f>IF(H9&gt;='01_Assumptions'!C20,"Green",IF(H9&gt;='01_Assumptions'!C20-0.05,"Amber","Red"))</f>
        <v/>
      </c>
      <c r="K9" s="29">
        <f>'01_Assumptions'!H13</f>
        <v/>
      </c>
      <c r="L9" s="30">
        <f>G9*K9</f>
        <v/>
      </c>
      <c r="M9" s="31">
        <f>'01_Assumptions'!G13</f>
        <v/>
      </c>
      <c r="N9" s="30">
        <f>L9-M9</f>
        <v/>
      </c>
    </row>
    <row r="10">
      <c r="B10" s="8">
        <f>'01_Assumptions'!B14</f>
        <v/>
      </c>
      <c r="C10" s="24">
        <f>'01_Assumptions'!C14</f>
        <v/>
      </c>
      <c r="D10" s="25">
        <f>'01_Assumptions'!D14*(1+'01_Assumptions'!C18)</f>
        <v/>
      </c>
      <c r="E10" s="25">
        <f>'01_Assumptions'!E14*(1+'01_Assumptions'!C19)</f>
        <v/>
      </c>
      <c r="F10" s="25">
        <f>'01_Assumptions'!F14</f>
        <v/>
      </c>
      <c r="G10" s="26">
        <f>D10-E10-F10</f>
        <v/>
      </c>
      <c r="H10" s="27">
        <f>IF(D10=0,0,G10/D10)</f>
        <v/>
      </c>
      <c r="I10" s="22">
        <f>H10-'01_Assumptions'!C20</f>
        <v/>
      </c>
      <c r="J10" s="28">
        <f>IF(H10&gt;='01_Assumptions'!C20,"Green",IF(H10&gt;='01_Assumptions'!C20-0.05,"Amber","Red"))</f>
        <v/>
      </c>
      <c r="K10" s="29">
        <f>'01_Assumptions'!H14</f>
        <v/>
      </c>
      <c r="L10" s="30">
        <f>G10*K10</f>
        <v/>
      </c>
      <c r="M10" s="31">
        <f>'01_Assumptions'!G14</f>
        <v/>
      </c>
      <c r="N10" s="30">
        <f>L10-M10</f>
        <v/>
      </c>
    </row>
    <row r="11">
      <c r="B11" s="8">
        <f>'01_Assumptions'!B15</f>
        <v/>
      </c>
      <c r="C11" s="24">
        <f>'01_Assumptions'!C15</f>
        <v/>
      </c>
      <c r="D11" s="25">
        <f>'01_Assumptions'!D15*(1+'01_Assumptions'!C18)</f>
        <v/>
      </c>
      <c r="E11" s="25">
        <f>'01_Assumptions'!E15*(1+'01_Assumptions'!C19)</f>
        <v/>
      </c>
      <c r="F11" s="25">
        <f>'01_Assumptions'!F15</f>
        <v/>
      </c>
      <c r="G11" s="26">
        <f>D11-E11-F11</f>
        <v/>
      </c>
      <c r="H11" s="27">
        <f>IF(D11=0,0,G11/D11)</f>
        <v/>
      </c>
      <c r="I11" s="22">
        <f>H11-'01_Assumptions'!C20</f>
        <v/>
      </c>
      <c r="J11" s="28">
        <f>IF(H11&gt;='01_Assumptions'!C20,"Green",IF(H11&gt;='01_Assumptions'!C20-0.05,"Amber","Red"))</f>
        <v/>
      </c>
      <c r="K11" s="29">
        <f>'01_Assumptions'!H15</f>
        <v/>
      </c>
      <c r="L11" s="30">
        <f>G11*K11</f>
        <v/>
      </c>
      <c r="M11" s="31">
        <f>'01_Assumptions'!G15</f>
        <v/>
      </c>
      <c r="N11" s="30">
        <f>L11-M11</f>
        <v/>
      </c>
    </row>
    <row r="13">
      <c r="B13" s="32" t="inlineStr">
        <is>
          <t>TOTAL / avg</t>
        </is>
      </c>
      <c r="H13" s="27">
        <f>IF(SUMPRODUCT(D6:D11,K6:K11)=0,0,SUMPRODUCT(G6:G11,K6:K11)/SUMPRODUCT(D6:D11,K6:K11))</f>
        <v/>
      </c>
      <c r="K13" s="33">
        <f>SUM(K6:K11)</f>
        <v/>
      </c>
      <c r="L13" s="30">
        <f>SUM(L6:L11)</f>
        <v/>
      </c>
      <c r="M13" s="31">
        <f>SUM(M6:M11)</f>
        <v/>
      </c>
      <c r="N13" s="30">
        <f>SUM(N6:N11)</f>
        <v/>
      </c>
    </row>
    <row r="15">
      <c r="B15" s="14" t="inlineStr">
        <is>
          <t>Unit contrib $ = Price − COGS − Var sell (after stress toggles). Ann contrib $000 = unit $ × volume (000).</t>
        </is>
      </c>
    </row>
  </sheetData>
  <conditionalFormatting sqref="J6:J11">
    <cfRule type="expression" priority="1" dxfId="0">
      <formula>J6="Green"</formula>
    </cfRule>
    <cfRule type="expression" priority="2" dxfId="1">
      <formula>J6="Amber"</formula>
    </cfRule>
    <cfRule type="expression" priority="3" dxfId="2">
      <formula>J6="Red"</formula>
    </cfRule>
  </conditionalFormatting>
  <pageMargins left="0.75" right="0.75" top="1" bottom="1" header="0.5" footer="0.5"/>
  <pageSetup orientation="landscape" paperSize="1" fitToHeight="1" fitToWidth="1"/>
  <headerFooter>
    <oddHeader/>
    <oddFooter>&amp;LNorthline Consumer Products  |  fictional sample  |  $000s where noted&amp;RCONFIDENTIAL — portfolio sample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K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>
      <c r="B2" s="1" t="inlineStr">
        <is>
          <t>03  ·  Channel View</t>
        </is>
      </c>
    </row>
    <row r="3">
      <c r="B3" s="3" t="inlineStr">
        <is>
          <t>Mix % by SKU (yellow) and channel fee % of price (yellow). Contribution after channel fee.</t>
        </is>
      </c>
    </row>
    <row r="5">
      <c r="B5" s="23" t="inlineStr">
        <is>
          <t>Channel fee % of price (retailer / platform take)</t>
        </is>
      </c>
    </row>
    <row r="6">
      <c r="B6" s="15" t="inlineStr">
        <is>
          <t>Metric</t>
        </is>
      </c>
      <c r="C6" s="15" t="inlineStr">
        <is>
          <t>Grocery</t>
        </is>
      </c>
      <c r="D6" s="15" t="inlineStr">
        <is>
          <t>Club</t>
        </is>
      </c>
      <c r="E6" s="15" t="inlineStr">
        <is>
          <t>eComm</t>
        </is>
      </c>
      <c r="F6" s="15" t="inlineStr">
        <is>
          <t>Convenience</t>
        </is>
      </c>
    </row>
    <row r="7">
      <c r="B7" s="11" t="inlineStr">
        <is>
          <t>Fee % of price</t>
        </is>
      </c>
      <c r="C7" s="20" t="n">
        <v>0.28</v>
      </c>
      <c r="D7" s="20" t="n">
        <v>0.22</v>
      </c>
      <c r="E7" s="20" t="n">
        <v>0.18</v>
      </c>
      <c r="F7" s="20" t="n">
        <v>0.32</v>
      </c>
    </row>
    <row r="9">
      <c r="B9" s="23" t="inlineStr">
        <is>
          <t>Channel mix by SKU (must sum to ~100%)</t>
        </is>
      </c>
    </row>
    <row r="10" ht="32" customHeight="1">
      <c r="B10" s="15" t="inlineStr">
        <is>
          <t>SKU</t>
        </is>
      </c>
      <c r="C10" s="15" t="inlineStr">
        <is>
          <t>Grocery</t>
        </is>
      </c>
      <c r="D10" s="15" t="inlineStr">
        <is>
          <t>Club</t>
        </is>
      </c>
      <c r="E10" s="15" t="inlineStr">
        <is>
          <t>eComm</t>
        </is>
      </c>
      <c r="F10" s="15" t="inlineStr">
        <is>
          <t>Convenience</t>
        </is>
      </c>
      <c r="G10" s="15" t="inlineStr">
        <is>
          <t>Mix check</t>
        </is>
      </c>
      <c r="H10" s="15" t="inlineStr">
        <is>
          <t>Unit CM $ (pre-fee)</t>
        </is>
      </c>
      <c r="I10" s="15" t="inlineStr">
        <is>
          <t>Blended fee %</t>
        </is>
      </c>
      <c r="J10" s="15" t="inlineStr">
        <is>
          <t>Unit CM $ after fee</t>
        </is>
      </c>
      <c r="K10" s="15" t="inlineStr">
        <is>
          <t>Ann CM $000</t>
        </is>
      </c>
    </row>
    <row r="11">
      <c r="B11" s="8">
        <f>'01_Assumptions'!B10</f>
        <v/>
      </c>
      <c r="C11" s="20" t="n">
        <v>0.45</v>
      </c>
      <c r="D11" s="20" t="n">
        <v>0.25</v>
      </c>
      <c r="E11" s="20" t="n">
        <v>0.15</v>
      </c>
      <c r="F11" s="20" t="n">
        <v>0.15</v>
      </c>
      <c r="G11" s="22">
        <f>C11+D11+E11+F11</f>
        <v/>
      </c>
      <c r="H11" s="25">
        <f>'02_Unit_P&amp;L'!G6</f>
        <v/>
      </c>
      <c r="I11" s="22">
        <f>C11*$C$7+D11*$D$7+E11*$E$7+F11*$F$7</f>
        <v/>
      </c>
      <c r="J11" s="26">
        <f>H11-'02_Unit_P&amp;L'!D6*I11</f>
        <v/>
      </c>
      <c r="K11" s="30">
        <f>J11*'02_Unit_P&amp;L'!K6</f>
        <v/>
      </c>
    </row>
    <row r="12">
      <c r="B12" s="8">
        <f>'01_Assumptions'!B11</f>
        <v/>
      </c>
      <c r="C12" s="20" t="n">
        <v>0.35</v>
      </c>
      <c r="D12" s="20" t="n">
        <v>0.35</v>
      </c>
      <c r="E12" s="20" t="n">
        <v>0.2</v>
      </c>
      <c r="F12" s="20" t="n">
        <v>0.1</v>
      </c>
      <c r="G12" s="22">
        <f>C12+D12+E12+F12</f>
        <v/>
      </c>
      <c r="H12" s="25">
        <f>'02_Unit_P&amp;L'!G7</f>
        <v/>
      </c>
      <c r="I12" s="22">
        <f>C12*$C$7+D12*$D$7+E12*$E$7+F12*$F$7</f>
        <v/>
      </c>
      <c r="J12" s="26">
        <f>H12-'02_Unit_P&amp;L'!D7*I12</f>
        <v/>
      </c>
      <c r="K12" s="30">
        <f>J12*'02_Unit_P&amp;L'!K7</f>
        <v/>
      </c>
    </row>
    <row r="13">
      <c r="B13" s="8">
        <f>'01_Assumptions'!B12</f>
        <v/>
      </c>
      <c r="C13" s="20" t="n">
        <v>0.5</v>
      </c>
      <c r="D13" s="20" t="n">
        <v>0.15</v>
      </c>
      <c r="E13" s="20" t="n">
        <v>0.25</v>
      </c>
      <c r="F13" s="20" t="n">
        <v>0.1</v>
      </c>
      <c r="G13" s="22">
        <f>C13+D13+E13+F13</f>
        <v/>
      </c>
      <c r="H13" s="25">
        <f>'02_Unit_P&amp;L'!G8</f>
        <v/>
      </c>
      <c r="I13" s="22">
        <f>C13*$C$7+D13*$D$7+E13*$E$7+F13*$F$7</f>
        <v/>
      </c>
      <c r="J13" s="26">
        <f>H13-'02_Unit_P&amp;L'!D8*I13</f>
        <v/>
      </c>
      <c r="K13" s="30">
        <f>J13*'02_Unit_P&amp;L'!K8</f>
        <v/>
      </c>
    </row>
    <row r="14">
      <c r="B14" s="8">
        <f>'01_Assumptions'!B13</f>
        <v/>
      </c>
      <c r="C14" s="20" t="n">
        <v>0.4</v>
      </c>
      <c r="D14" s="20" t="n">
        <v>0.3</v>
      </c>
      <c r="E14" s="20" t="n">
        <v>0.1</v>
      </c>
      <c r="F14" s="20" t="n">
        <v>0.2</v>
      </c>
      <c r="G14" s="22">
        <f>C14+D14+E14+F14</f>
        <v/>
      </c>
      <c r="H14" s="25">
        <f>'02_Unit_P&amp;L'!G9</f>
        <v/>
      </c>
      <c r="I14" s="22">
        <f>C14*$C$7+D14*$D$7+E14*$E$7+F14*$F$7</f>
        <v/>
      </c>
      <c r="J14" s="26">
        <f>H14-'02_Unit_P&amp;L'!D9*I14</f>
        <v/>
      </c>
      <c r="K14" s="30">
        <f>J14*'02_Unit_P&amp;L'!K9</f>
        <v/>
      </c>
    </row>
    <row r="15">
      <c r="B15" s="8">
        <f>'01_Assumptions'!B14</f>
        <v/>
      </c>
      <c r="C15" s="20" t="n">
        <v>0.3</v>
      </c>
      <c r="D15" s="20" t="n">
        <v>0.2</v>
      </c>
      <c r="E15" s="20" t="n">
        <v>0.4</v>
      </c>
      <c r="F15" s="20" t="n">
        <v>0.1</v>
      </c>
      <c r="G15" s="22">
        <f>C15+D15+E15+F15</f>
        <v/>
      </c>
      <c r="H15" s="25">
        <f>'02_Unit_P&amp;L'!G10</f>
        <v/>
      </c>
      <c r="I15" s="22">
        <f>C15*$C$7+D15*$D$7+E15*$E$7+F15*$F$7</f>
        <v/>
      </c>
      <c r="J15" s="26">
        <f>H15-'02_Unit_P&amp;L'!D10*I15</f>
        <v/>
      </c>
      <c r="K15" s="30">
        <f>J15*'02_Unit_P&amp;L'!K10</f>
        <v/>
      </c>
    </row>
    <row r="16">
      <c r="B16" s="8">
        <f>'01_Assumptions'!B15</f>
        <v/>
      </c>
      <c r="C16" s="20" t="n">
        <v>0.25</v>
      </c>
      <c r="D16" s="20" t="n">
        <v>0.2</v>
      </c>
      <c r="E16" s="20" t="n">
        <v>0.15</v>
      </c>
      <c r="F16" s="20" t="n">
        <v>0.4</v>
      </c>
      <c r="G16" s="22">
        <f>C16+D16+E16+F16</f>
        <v/>
      </c>
      <c r="H16" s="25">
        <f>'02_Unit_P&amp;L'!G11</f>
        <v/>
      </c>
      <c r="I16" s="22">
        <f>C16*$C$7+D16*$D$7+E16*$E$7+F16*$F$7</f>
        <v/>
      </c>
      <c r="J16" s="26">
        <f>H16-'02_Unit_P&amp;L'!D11*I16</f>
        <v/>
      </c>
      <c r="K16" s="30">
        <f>J16*'02_Unit_P&amp;L'!K11</f>
        <v/>
      </c>
    </row>
    <row r="18">
      <c r="B18" s="23" t="inlineStr">
        <is>
          <t>Channel contribution $000s (volume × mix × unit CM after fee)</t>
        </is>
      </c>
    </row>
    <row r="19">
      <c r="B19" s="15" t="inlineStr">
        <is>
          <t>SKU</t>
        </is>
      </c>
      <c r="C19" s="15" t="inlineStr">
        <is>
          <t>Grocery</t>
        </is>
      </c>
      <c r="D19" s="15" t="inlineStr">
        <is>
          <t>Club</t>
        </is>
      </c>
      <c r="E19" s="15" t="inlineStr">
        <is>
          <t>eComm</t>
        </is>
      </c>
      <c r="F19" s="15" t="inlineStr">
        <is>
          <t>Convenience</t>
        </is>
      </c>
      <c r="G19" s="15" t="inlineStr">
        <is>
          <t>Total</t>
        </is>
      </c>
    </row>
    <row r="20">
      <c r="B20" s="8">
        <f>B11</f>
        <v/>
      </c>
      <c r="C20" s="31">
        <f>'02_Unit_P&amp;L'!K6*C11*$J11</f>
        <v/>
      </c>
      <c r="D20" s="31">
        <f>'02_Unit_P&amp;L'!K6*D11*$J11</f>
        <v/>
      </c>
      <c r="E20" s="31">
        <f>'02_Unit_P&amp;L'!K6*E11*$J11</f>
        <v/>
      </c>
      <c r="F20" s="31">
        <f>'02_Unit_P&amp;L'!K6*F11*$J11</f>
        <v/>
      </c>
      <c r="G20" s="30">
        <f>C20+D20+E20+F20</f>
        <v/>
      </c>
    </row>
    <row r="21">
      <c r="B21" s="8">
        <f>B12</f>
        <v/>
      </c>
      <c r="C21" s="31">
        <f>'02_Unit_P&amp;L'!K7*C12*$J12</f>
        <v/>
      </c>
      <c r="D21" s="31">
        <f>'02_Unit_P&amp;L'!K7*D12*$J12</f>
        <v/>
      </c>
      <c r="E21" s="31">
        <f>'02_Unit_P&amp;L'!K7*E12*$J12</f>
        <v/>
      </c>
      <c r="F21" s="31">
        <f>'02_Unit_P&amp;L'!K7*F12*$J12</f>
        <v/>
      </c>
      <c r="G21" s="30">
        <f>C21+D21+E21+F21</f>
        <v/>
      </c>
    </row>
    <row r="22">
      <c r="B22" s="8">
        <f>B13</f>
        <v/>
      </c>
      <c r="C22" s="31">
        <f>'02_Unit_P&amp;L'!K8*C13*$J13</f>
        <v/>
      </c>
      <c r="D22" s="31">
        <f>'02_Unit_P&amp;L'!K8*D13*$J13</f>
        <v/>
      </c>
      <c r="E22" s="31">
        <f>'02_Unit_P&amp;L'!K8*E13*$J13</f>
        <v/>
      </c>
      <c r="F22" s="31">
        <f>'02_Unit_P&amp;L'!K8*F13*$J13</f>
        <v/>
      </c>
      <c r="G22" s="30">
        <f>C22+D22+E22+F22</f>
        <v/>
      </c>
    </row>
    <row r="23">
      <c r="B23" s="8">
        <f>B14</f>
        <v/>
      </c>
      <c r="C23" s="31">
        <f>'02_Unit_P&amp;L'!K9*C14*$J14</f>
        <v/>
      </c>
      <c r="D23" s="31">
        <f>'02_Unit_P&amp;L'!K9*D14*$J14</f>
        <v/>
      </c>
      <c r="E23" s="31">
        <f>'02_Unit_P&amp;L'!K9*E14*$J14</f>
        <v/>
      </c>
      <c r="F23" s="31">
        <f>'02_Unit_P&amp;L'!K9*F14*$J14</f>
        <v/>
      </c>
      <c r="G23" s="30">
        <f>C23+D23+E23+F23</f>
        <v/>
      </c>
    </row>
    <row r="24">
      <c r="B24" s="8">
        <f>B15</f>
        <v/>
      </c>
      <c r="C24" s="31">
        <f>'02_Unit_P&amp;L'!K10*C15*$J15</f>
        <v/>
      </c>
      <c r="D24" s="31">
        <f>'02_Unit_P&amp;L'!K10*D15*$J15</f>
        <v/>
      </c>
      <c r="E24" s="31">
        <f>'02_Unit_P&amp;L'!K10*E15*$J15</f>
        <v/>
      </c>
      <c r="F24" s="31">
        <f>'02_Unit_P&amp;L'!K10*F15*$J15</f>
        <v/>
      </c>
      <c r="G24" s="30">
        <f>C24+D24+E24+F24</f>
        <v/>
      </c>
    </row>
    <row r="25">
      <c r="B25" s="8">
        <f>B16</f>
        <v/>
      </c>
      <c r="C25" s="31">
        <f>'02_Unit_P&amp;L'!K11*C16*$J16</f>
        <v/>
      </c>
      <c r="D25" s="31">
        <f>'02_Unit_P&amp;L'!K11*D16*$J16</f>
        <v/>
      </c>
      <c r="E25" s="31">
        <f>'02_Unit_P&amp;L'!K11*E16*$J16</f>
        <v/>
      </c>
      <c r="F25" s="31">
        <f>'02_Unit_P&amp;L'!K11*F16*$J16</f>
        <v/>
      </c>
      <c r="G25" s="30">
        <f>C25+D25+E25+F25</f>
        <v/>
      </c>
    </row>
    <row r="27">
      <c r="B27" s="32" t="inlineStr">
        <is>
          <t>TOTAL</t>
        </is>
      </c>
      <c r="C27" s="30">
        <f>SUM(C20:C25)</f>
        <v/>
      </c>
      <c r="D27" s="30">
        <f>SUM(D20:D25)</f>
        <v/>
      </c>
      <c r="E27" s="30">
        <f>SUM(E20:E25)</f>
        <v/>
      </c>
      <c r="F27" s="30">
        <f>SUM(F20:F25)</f>
        <v/>
      </c>
      <c r="G27" s="30">
        <f>SUM(G20:G25)</f>
        <v/>
      </c>
    </row>
    <row r="29">
      <c r="B29" s="14" t="inlineStr">
        <is>
          <t>Mix check should be ~100%. If not, channel $000s are still proportional but flag for cleanup.</t>
        </is>
      </c>
    </row>
  </sheetData>
  <mergeCells count="3">
    <mergeCell ref="B18:F18"/>
    <mergeCell ref="B9:G9"/>
    <mergeCell ref="B5:F5"/>
  </mergeCells>
  <pageMargins left="0.75" right="0.75" top="1" bottom="1" header="0.5" footer="0.5"/>
  <pageSetup orientation="landscape" paperSize="1" fitToHeight="1" fitToWidth="1"/>
  <headerFooter>
    <oddHeader/>
    <oddFooter>&amp;LNorthline Consumer Products  |  fictional sample  |  $000s where noted&amp;RCONFIDENTIAL — portfolio sample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</cols>
  <sheetData>
    <row r="2">
      <c r="B2" s="1" t="inlineStr">
        <is>
          <t>04  ·  Cohort / Ramp — NL-PROBIO launch</t>
        </is>
      </c>
    </row>
    <row r="3">
      <c r="B3" s="3" t="inlineStr">
        <is>
          <t>12-month volume ramp and cumulative contribution vs launch spend (slotting + CAC). Payback month highlighted.</t>
        </is>
      </c>
    </row>
    <row r="5">
      <c r="B5" t="inlineStr">
        <is>
          <t>Launch SKU</t>
        </is>
      </c>
      <c r="C5" s="7" t="inlineStr">
        <is>
          <t>NL-PROBIO</t>
        </is>
      </c>
    </row>
    <row r="6">
      <c r="B6" t="inlineStr">
        <is>
          <t>Unit price $ (linked)</t>
        </is>
      </c>
      <c r="C6" s="25">
        <f>'02_Unit_P&amp;L'!D10</f>
        <v/>
      </c>
    </row>
    <row r="7">
      <c r="B7" t="inlineStr">
        <is>
          <t>Unit contrib $ (pre-fee)</t>
        </is>
      </c>
      <c r="C7" s="26">
        <f>'02_Unit_P&amp;L'!G10</f>
        <v/>
      </c>
    </row>
    <row r="8">
      <c r="B8" t="inlineStr">
        <is>
          <t>Blended fee % (from channel)</t>
        </is>
      </c>
      <c r="C8" s="22">
        <f>'03_Channel_View'!I15</f>
        <v/>
      </c>
    </row>
    <row r="9">
      <c r="B9" t="inlineStr">
        <is>
          <t>Unit CM $ after fee</t>
        </is>
      </c>
      <c r="C9" s="26">
        <f>C7-C6*C8</f>
        <v/>
      </c>
    </row>
    <row r="10">
      <c r="B10" t="inlineStr">
        <is>
          <t>Payback hurdle (mo)</t>
        </is>
      </c>
      <c r="C10" s="8">
        <f>'01_Assumptions'!C21</f>
        <v/>
      </c>
    </row>
    <row r="12">
      <c r="B12" s="15" t="inlineStr">
        <is>
          <t>Metric</t>
        </is>
      </c>
      <c r="C12" s="15" t="inlineStr">
        <is>
          <t>M1</t>
        </is>
      </c>
      <c r="D12" s="15" t="inlineStr">
        <is>
          <t>M2</t>
        </is>
      </c>
      <c r="E12" s="15" t="inlineStr">
        <is>
          <t>M3</t>
        </is>
      </c>
      <c r="F12" s="15" t="inlineStr">
        <is>
          <t>M4</t>
        </is>
      </c>
      <c r="G12" s="15" t="inlineStr">
        <is>
          <t>M5</t>
        </is>
      </c>
      <c r="H12" s="15" t="inlineStr">
        <is>
          <t>M6</t>
        </is>
      </c>
      <c r="I12" s="15" t="inlineStr">
        <is>
          <t>M7</t>
        </is>
      </c>
      <c r="J12" s="15" t="inlineStr">
        <is>
          <t>M8</t>
        </is>
      </c>
      <c r="K12" s="15" t="inlineStr">
        <is>
          <t>M9</t>
        </is>
      </c>
      <c r="L12" s="15" t="inlineStr">
        <is>
          <t>M10</t>
        </is>
      </c>
      <c r="M12" s="15" t="inlineStr">
        <is>
          <t>M11</t>
        </is>
      </c>
      <c r="N12" s="15" t="inlineStr">
        <is>
          <t>M12</t>
        </is>
      </c>
      <c r="O12" s="15" t="inlineStr">
        <is>
          <t>FY Total</t>
        </is>
      </c>
    </row>
    <row r="13">
      <c r="B13" s="11" t="inlineStr">
        <is>
          <t>Volume (000 units)</t>
        </is>
      </c>
      <c r="C13" s="34" t="n">
        <v>20</v>
      </c>
      <c r="D13" s="34" t="n">
        <v>35</v>
      </c>
      <c r="E13" s="34" t="n">
        <v>55</v>
      </c>
      <c r="F13" s="34" t="n">
        <v>70</v>
      </c>
      <c r="G13" s="34" t="n">
        <v>80</v>
      </c>
      <c r="H13" s="34" t="n">
        <v>90</v>
      </c>
      <c r="I13" s="34" t="n">
        <v>95</v>
      </c>
      <c r="J13" s="34" t="n">
        <v>100</v>
      </c>
      <c r="K13" s="34" t="n">
        <v>105</v>
      </c>
      <c r="L13" s="34" t="n">
        <v>110</v>
      </c>
      <c r="M13" s="34" t="n">
        <v>115</v>
      </c>
      <c r="N13" s="34" t="n">
        <v>125</v>
      </c>
      <c r="O13" s="35">
        <f>SUM(C13:N13)</f>
        <v/>
      </c>
    </row>
    <row r="14">
      <c r="B14" s="11" t="inlineStr">
        <is>
          <t>Launch spend $000s</t>
        </is>
      </c>
      <c r="C14" s="18" t="n">
        <v>120</v>
      </c>
      <c r="D14" s="18" t="n">
        <v>40</v>
      </c>
      <c r="E14" s="18" t="n">
        <v>25</v>
      </c>
      <c r="F14" s="18" t="n">
        <v>15</v>
      </c>
      <c r="G14" s="18" t="n">
        <v>10</v>
      </c>
      <c r="H14" s="18" t="n">
        <v>5</v>
      </c>
      <c r="I14" s="18" t="n">
        <v>5</v>
      </c>
      <c r="J14" s="18" t="n">
        <v>0</v>
      </c>
      <c r="K14" s="18" t="n">
        <v>0</v>
      </c>
      <c r="L14" s="18" t="n">
        <v>0</v>
      </c>
      <c r="M14" s="18" t="n">
        <v>0</v>
      </c>
      <c r="N14" s="18" t="n">
        <v>0</v>
      </c>
      <c r="O14" s="31">
        <f>SUM(C14:N14)</f>
        <v/>
      </c>
    </row>
    <row r="15">
      <c r="B15" s="11" t="inlineStr">
        <is>
          <t>Revenue $000s</t>
        </is>
      </c>
      <c r="C15" s="31">
        <f>$C$6*C13</f>
        <v/>
      </c>
      <c r="D15" s="31">
        <f>$C$6*D13</f>
        <v/>
      </c>
      <c r="E15" s="31">
        <f>$C$6*E13</f>
        <v/>
      </c>
      <c r="F15" s="31">
        <f>$C$6*F13</f>
        <v/>
      </c>
      <c r="G15" s="31">
        <f>$C$6*G13</f>
        <v/>
      </c>
      <c r="H15" s="31">
        <f>$C$6*H13</f>
        <v/>
      </c>
      <c r="I15" s="31">
        <f>$C$6*I13</f>
        <v/>
      </c>
      <c r="J15" s="31">
        <f>$C$6*J13</f>
        <v/>
      </c>
      <c r="K15" s="31">
        <f>$C$6*K13</f>
        <v/>
      </c>
      <c r="L15" s="31">
        <f>$C$6*L13</f>
        <v/>
      </c>
      <c r="M15" s="31">
        <f>$C$6*M13</f>
        <v/>
      </c>
      <c r="N15" s="31">
        <f>$C$6*N13</f>
        <v/>
      </c>
      <c r="O15" s="31">
        <f>SUM(C15:N15)</f>
        <v/>
      </c>
    </row>
    <row r="16">
      <c r="B16" s="11" t="inlineStr">
        <is>
          <t>Contribution $000s</t>
        </is>
      </c>
      <c r="C16" s="30">
        <f>$C$9*C13</f>
        <v/>
      </c>
      <c r="D16" s="30">
        <f>$C$9*D13</f>
        <v/>
      </c>
      <c r="E16" s="30">
        <f>$C$9*E13</f>
        <v/>
      </c>
      <c r="F16" s="30">
        <f>$C$9*F13</f>
        <v/>
      </c>
      <c r="G16" s="30">
        <f>$C$9*G13</f>
        <v/>
      </c>
      <c r="H16" s="30">
        <f>$C$9*H13</f>
        <v/>
      </c>
      <c r="I16" s="30">
        <f>$C$9*I13</f>
        <v/>
      </c>
      <c r="J16" s="30">
        <f>$C$9*J13</f>
        <v/>
      </c>
      <c r="K16" s="30">
        <f>$C$9*K13</f>
        <v/>
      </c>
      <c r="L16" s="30">
        <f>$C$9*L13</f>
        <v/>
      </c>
      <c r="M16" s="30">
        <f>$C$9*M13</f>
        <v/>
      </c>
      <c r="N16" s="30">
        <f>$C$9*N13</f>
        <v/>
      </c>
      <c r="O16" s="30">
        <f>SUM(C16:N16)</f>
        <v/>
      </c>
    </row>
    <row r="17">
      <c r="B17" s="11" t="inlineStr">
        <is>
          <t>Net of launch spend $000s</t>
        </is>
      </c>
      <c r="C17" s="31">
        <f>C16-C14</f>
        <v/>
      </c>
      <c r="D17" s="31">
        <f>D16-D14</f>
        <v/>
      </c>
      <c r="E17" s="31">
        <f>E16-E14</f>
        <v/>
      </c>
      <c r="F17" s="31">
        <f>F16-F14</f>
        <v/>
      </c>
      <c r="G17" s="31">
        <f>G16-G14</f>
        <v/>
      </c>
      <c r="H17" s="31">
        <f>H16-H14</f>
        <v/>
      </c>
      <c r="I17" s="31">
        <f>I16-I14</f>
        <v/>
      </c>
      <c r="J17" s="31">
        <f>J16-J14</f>
        <v/>
      </c>
      <c r="K17" s="31">
        <f>K16-K14</f>
        <v/>
      </c>
      <c r="L17" s="31">
        <f>L16-L14</f>
        <v/>
      </c>
      <c r="M17" s="31">
        <f>M16-M14</f>
        <v/>
      </c>
      <c r="N17" s="31">
        <f>N16-N14</f>
        <v/>
      </c>
      <c r="O17" s="30">
        <f>SUM(C17:N17)</f>
        <v/>
      </c>
    </row>
    <row r="18">
      <c r="B18" s="11" t="inlineStr">
        <is>
          <t>Cumulative net $000s</t>
        </is>
      </c>
      <c r="C18" s="30">
        <f>C17</f>
        <v/>
      </c>
      <c r="D18" s="30">
        <f>C18+D17</f>
        <v/>
      </c>
      <c r="E18" s="30">
        <f>D18+E17</f>
        <v/>
      </c>
      <c r="F18" s="30">
        <f>E18+F17</f>
        <v/>
      </c>
      <c r="G18" s="30">
        <f>F18+G17</f>
        <v/>
      </c>
      <c r="H18" s="30">
        <f>G18+H17</f>
        <v/>
      </c>
      <c r="I18" s="30">
        <f>H18+I17</f>
        <v/>
      </c>
      <c r="J18" s="30">
        <f>I18+J17</f>
        <v/>
      </c>
      <c r="K18" s="30">
        <f>J18+K17</f>
        <v/>
      </c>
      <c r="L18" s="30">
        <f>K18+L17</f>
        <v/>
      </c>
      <c r="M18" s="30">
        <f>L18+M17</f>
        <v/>
      </c>
      <c r="N18" s="30">
        <f>M18+N17</f>
        <v/>
      </c>
      <c r="O18" s="30">
        <f>N18</f>
        <v/>
      </c>
    </row>
    <row r="19">
      <c r="B19" s="11" t="inlineStr">
        <is>
          <t>Payback reached?</t>
        </is>
      </c>
      <c r="C19" s="28">
        <f>IF(C18&gt;=0,"YES","")</f>
        <v/>
      </c>
      <c r="D19" s="28">
        <f>IF(AND(C18&lt;0,D18&gt;=0),"YES",IF(D18&gt;=0,"",""))</f>
        <v/>
      </c>
      <c r="E19" s="28">
        <f>IF(AND(D18&lt;0,E18&gt;=0),"YES",IF(E18&gt;=0,"",""))</f>
        <v/>
      </c>
      <c r="F19" s="28">
        <f>IF(AND(E18&lt;0,F18&gt;=0),"YES",IF(F18&gt;=0,"",""))</f>
        <v/>
      </c>
      <c r="G19" s="28">
        <f>IF(AND(F18&lt;0,G18&gt;=0),"YES",IF(G18&gt;=0,"",""))</f>
        <v/>
      </c>
      <c r="H19" s="28">
        <f>IF(AND(G18&lt;0,H18&gt;=0),"YES",IF(H18&gt;=0,"",""))</f>
        <v/>
      </c>
      <c r="I19" s="28">
        <f>IF(AND(H18&lt;0,I18&gt;=0),"YES",IF(I18&gt;=0,"",""))</f>
        <v/>
      </c>
      <c r="J19" s="28">
        <f>IF(AND(I18&lt;0,J18&gt;=0),"YES",IF(J18&gt;=0,"",""))</f>
        <v/>
      </c>
      <c r="K19" s="28">
        <f>IF(AND(J18&lt;0,K18&gt;=0),"YES",IF(K18&gt;=0,"",""))</f>
        <v/>
      </c>
      <c r="L19" s="28">
        <f>IF(AND(K18&lt;0,L18&gt;=0),"YES",IF(L18&gt;=0,"",""))</f>
        <v/>
      </c>
      <c r="M19" s="28">
        <f>IF(AND(L18&lt;0,M18&gt;=0),"YES",IF(M18&gt;=0,"",""))</f>
        <v/>
      </c>
      <c r="N19" s="28">
        <f>IF(AND(M18&lt;0,N18&gt;=0),"YES",IF(N18&gt;=0,"",""))</f>
        <v/>
      </c>
    </row>
    <row r="21">
      <c r="B21" t="inlineStr">
        <is>
          <t>Payback month #</t>
        </is>
      </c>
      <c r="C21" s="28">
        <f>IFERROR(MATCH("YES",C19:N19,0),"Not within 12 mo")</f>
        <v/>
      </c>
    </row>
    <row r="22">
      <c r="B22" t="inlineStr">
        <is>
          <t>Within hurdle?</t>
        </is>
      </c>
      <c r="C22" s="28">
        <f>IF(ISNUMBER(C21),IF(C21&lt;=C10,"Yes — inside hurdle","No — beyond hurdle"),"No — not paid back")</f>
        <v/>
      </c>
    </row>
    <row r="23">
      <c r="B23" t="inlineStr">
        <is>
          <t>Year-1 CM after launch spend $000s</t>
        </is>
      </c>
      <c r="C23" s="30">
        <f>O17</f>
        <v/>
      </c>
    </row>
    <row r="25">
      <c r="B25" s="14" t="inlineStr">
        <is>
          <t>Edit yellow volume and launch spend to stress payback. Unit CM flows from Assumptions → Unit P&amp;L → Channel fees.</t>
        </is>
      </c>
    </row>
  </sheetData>
  <conditionalFormatting sqref="C19:N19">
    <cfRule type="expression" priority="1" dxfId="0">
      <formula>C19="YES"</formula>
    </cfRule>
  </conditionalFormatting>
  <conditionalFormatting sqref="C18:N18">
    <cfRule type="cellIs" priority="2" operator="greaterThanOrEqual" dxfId="0">
      <formula>0</formula>
    </cfRule>
    <cfRule type="cellIs" priority="3" operator="lessThan" dxfId="2">
      <formula>0</formula>
    </cfRule>
  </conditionalFormatting>
  <pageMargins left="0.75" right="0.75" top="1" bottom="1" header="0.5" footer="0.5"/>
  <pageSetup orientation="landscape" paperSize="1" fitToHeight="1" fitToWidth="1"/>
  <headerFooter>
    <oddHeader/>
    <oddFooter>&amp;LNorthline Consumer Products  |  fictional sample  |  $000s where noted&amp;RCONFIDENTIAL — portfolio sample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M2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2.5" customWidth="1" min="14" max="14"/>
  </cols>
  <sheetData>
    <row r="1" ht="28" customHeight="1">
      <c r="B1" s="36">
        <f>"NORTHLINE  ·  UNIT ECONOMICS DASHBOARD  ·  "&amp;'01_Assumptions'!C6</f>
        <v/>
      </c>
    </row>
    <row r="2">
      <c r="B2" s="37">
        <f>'01_Assumptions'!C5&amp;"  ·  per-unit $ and $000s  ·  fictional sample"</f>
        <v/>
      </c>
    </row>
    <row r="4">
      <c r="B4" s="38" t="inlineStr">
        <is>
          <t>PORTFOLIO CM %</t>
        </is>
      </c>
      <c r="C4" s="39" t="n"/>
      <c r="D4" s="38" t="inlineStr">
        <is>
          <t>ANN CONTRIB $000</t>
        </is>
      </c>
      <c r="E4" s="39" t="n"/>
      <c r="F4" s="38" t="inlineStr">
        <is>
          <t>AFTER SLOTTING</t>
        </is>
      </c>
      <c r="G4" s="39" t="n"/>
      <c r="I4" s="38" t="inlineStr">
        <is>
          <t>LAUNCH PAYBACK MO</t>
        </is>
      </c>
      <c r="J4" s="39" t="n"/>
      <c r="K4" s="38" t="inlineStr">
        <is>
          <t>Y1 NET $000</t>
        </is>
      </c>
      <c r="L4" s="39" t="n"/>
    </row>
    <row r="5" ht="24" customHeight="1">
      <c r="B5" s="40">
        <f>'02_Unit_P&amp;L'!H13</f>
        <v/>
      </c>
      <c r="C5" s="11" t="n"/>
      <c r="D5" s="41">
        <f>'02_Unit_P&amp;L'!L13</f>
        <v/>
      </c>
      <c r="E5" s="11" t="n"/>
      <c r="F5" s="41">
        <f>'02_Unit_P&amp;L'!N13</f>
        <v/>
      </c>
      <c r="G5" s="11" t="n"/>
      <c r="I5" s="42">
        <f>'04_Cohort_or_Ramp'!C21</f>
        <v/>
      </c>
      <c r="J5" s="11" t="n"/>
      <c r="K5" s="41">
        <f>'04_Cohort_or_Ramp'!C23</f>
        <v/>
      </c>
      <c r="L5" s="11" t="n"/>
    </row>
    <row r="7">
      <c r="B7" s="4" t="inlineStr">
        <is>
          <t>SKU CONTRIBUTION RANK</t>
        </is>
      </c>
      <c r="I7" s="4" t="inlineStr">
        <is>
          <t>LAUNCH SNAPSHOT (NL-PROBIO)</t>
        </is>
      </c>
    </row>
    <row r="8">
      <c r="B8" s="15" t="inlineStr">
        <is>
          <t>SKU</t>
        </is>
      </c>
      <c r="C8" s="15" t="inlineStr">
        <is>
          <t>CM %</t>
        </is>
      </c>
      <c r="D8" s="15" t="inlineStr">
        <is>
          <t>RAG</t>
        </is>
      </c>
      <c r="E8" s="15" t="inlineStr">
        <is>
          <t>Ann CM $000</t>
        </is>
      </c>
      <c r="F8" s="15" t="inlineStr">
        <is>
          <t>After slot $000</t>
        </is>
      </c>
      <c r="I8" s="10" t="inlineStr">
        <is>
          <t>Unit CM $ after fee</t>
        </is>
      </c>
      <c r="J8" s="26">
        <f>'04_Cohort_or_Ramp'!C9</f>
        <v/>
      </c>
      <c r="K8" s="12" t="n"/>
      <c r="L8" s="13" t="n"/>
    </row>
    <row r="9">
      <c r="B9" s="8">
        <f>'02_Unit_P&amp;L'!B6</f>
        <v/>
      </c>
      <c r="C9" s="27">
        <f>'02_Unit_P&amp;L'!H6</f>
        <v/>
      </c>
      <c r="D9" s="28">
        <f>'02_Unit_P&amp;L'!J6</f>
        <v/>
      </c>
      <c r="E9" s="31">
        <f>'02_Unit_P&amp;L'!L6</f>
        <v/>
      </c>
      <c r="F9" s="30">
        <f>'02_Unit_P&amp;L'!N6</f>
        <v/>
      </c>
      <c r="I9" s="10" t="inlineStr">
        <is>
          <t>FY volume (000)</t>
        </is>
      </c>
      <c r="J9" s="35">
        <f>'04_Cohort_or_Ramp'!O13</f>
        <v/>
      </c>
      <c r="K9" s="12" t="n"/>
      <c r="L9" s="13" t="n"/>
    </row>
    <row r="10">
      <c r="B10" s="8">
        <f>'02_Unit_P&amp;L'!B7</f>
        <v/>
      </c>
      <c r="C10" s="27">
        <f>'02_Unit_P&amp;L'!H7</f>
        <v/>
      </c>
      <c r="D10" s="28">
        <f>'02_Unit_P&amp;L'!J7</f>
        <v/>
      </c>
      <c r="E10" s="31">
        <f>'02_Unit_P&amp;L'!L7</f>
        <v/>
      </c>
      <c r="F10" s="30">
        <f>'02_Unit_P&amp;L'!N7</f>
        <v/>
      </c>
      <c r="I10" s="10" t="inlineStr">
        <is>
          <t>FY contribution $000</t>
        </is>
      </c>
      <c r="J10" s="30">
        <f>'04_Cohort_or_Ramp'!O16</f>
        <v/>
      </c>
      <c r="K10" s="12" t="n"/>
      <c r="L10" s="13" t="n"/>
    </row>
    <row r="11">
      <c r="B11" s="8">
        <f>'02_Unit_P&amp;L'!B8</f>
        <v/>
      </c>
      <c r="C11" s="27">
        <f>'02_Unit_P&amp;L'!H8</f>
        <v/>
      </c>
      <c r="D11" s="28">
        <f>'02_Unit_P&amp;L'!J8</f>
        <v/>
      </c>
      <c r="E11" s="31">
        <f>'02_Unit_P&amp;L'!L8</f>
        <v/>
      </c>
      <c r="F11" s="30">
        <f>'02_Unit_P&amp;L'!N8</f>
        <v/>
      </c>
      <c r="I11" s="10" t="inlineStr">
        <is>
          <t>Launch spend $000</t>
        </is>
      </c>
      <c r="J11" s="30">
        <f>'04_Cohort_or_Ramp'!O14</f>
        <v/>
      </c>
      <c r="K11" s="12" t="n"/>
      <c r="L11" s="13" t="n"/>
    </row>
    <row r="12">
      <c r="B12" s="8">
        <f>'02_Unit_P&amp;L'!B9</f>
        <v/>
      </c>
      <c r="C12" s="27">
        <f>'02_Unit_P&amp;L'!H9</f>
        <v/>
      </c>
      <c r="D12" s="28">
        <f>'02_Unit_P&amp;L'!J9</f>
        <v/>
      </c>
      <c r="E12" s="31">
        <f>'02_Unit_P&amp;L'!L9</f>
        <v/>
      </c>
      <c r="F12" s="30">
        <f>'02_Unit_P&amp;L'!N9</f>
        <v/>
      </c>
      <c r="I12" s="10" t="inlineStr">
        <is>
          <t>Y1 net $000</t>
        </is>
      </c>
      <c r="J12" s="30">
        <f>'04_Cohort_or_Ramp'!C23</f>
        <v/>
      </c>
      <c r="K12" s="12" t="n"/>
      <c r="L12" s="13" t="n"/>
    </row>
    <row r="13">
      <c r="B13" s="8">
        <f>'02_Unit_P&amp;L'!B10</f>
        <v/>
      </c>
      <c r="C13" s="27">
        <f>'02_Unit_P&amp;L'!H10</f>
        <v/>
      </c>
      <c r="D13" s="28">
        <f>'02_Unit_P&amp;L'!J10</f>
        <v/>
      </c>
      <c r="E13" s="31">
        <f>'02_Unit_P&amp;L'!L10</f>
        <v/>
      </c>
      <c r="F13" s="30">
        <f>'02_Unit_P&amp;L'!N10</f>
        <v/>
      </c>
      <c r="I13" s="10" t="inlineStr">
        <is>
          <t>Payback month</t>
        </is>
      </c>
      <c r="J13" s="43">
        <f>'04_Cohort_or_Ramp'!C21</f>
        <v/>
      </c>
      <c r="K13" s="12" t="n"/>
      <c r="L13" s="13" t="n"/>
    </row>
    <row r="14">
      <c r="B14" s="8">
        <f>'02_Unit_P&amp;L'!B11</f>
        <v/>
      </c>
      <c r="C14" s="27">
        <f>'02_Unit_P&amp;L'!H11</f>
        <v/>
      </c>
      <c r="D14" s="28">
        <f>'02_Unit_P&amp;L'!J11</f>
        <v/>
      </c>
      <c r="E14" s="31">
        <f>'02_Unit_P&amp;L'!L11</f>
        <v/>
      </c>
      <c r="F14" s="30">
        <f>'02_Unit_P&amp;L'!N11</f>
        <v/>
      </c>
      <c r="I14" s="10" t="inlineStr">
        <is>
          <t>Within hurdle?</t>
        </is>
      </c>
      <c r="J14" s="28">
        <f>'04_Cohort_or_Ramp'!C22</f>
        <v/>
      </c>
      <c r="K14" s="12" t="n"/>
      <c r="L14" s="13" t="n"/>
    </row>
    <row r="16">
      <c r="B16" s="4" t="inlineStr">
        <is>
          <t>CHANNEL TOTALS ($000s)</t>
        </is>
      </c>
      <c r="I16" s="4" t="inlineStr">
        <is>
          <t>STRESS TOGGLES (from Assumptions)</t>
        </is>
      </c>
    </row>
    <row r="17">
      <c r="B17" s="15" t="inlineStr">
        <is>
          <t>Grocery</t>
        </is>
      </c>
      <c r="C17" s="15" t="inlineStr">
        <is>
          <t>Club</t>
        </is>
      </c>
      <c r="D17" s="15" t="inlineStr">
        <is>
          <t>eComm</t>
        </is>
      </c>
      <c r="E17" s="15" t="inlineStr">
        <is>
          <t>Convenience</t>
        </is>
      </c>
      <c r="F17" s="15" t="inlineStr">
        <is>
          <t>Total</t>
        </is>
      </c>
      <c r="I17" t="inlineStr">
        <is>
          <t>Price stress %</t>
        </is>
      </c>
      <c r="J17" s="22">
        <f>'01_Assumptions'!C18</f>
        <v/>
      </c>
    </row>
    <row r="18">
      <c r="B18" s="30">
        <f>'03_Channel_View'!C27</f>
        <v/>
      </c>
      <c r="C18" s="30">
        <f>'03_Channel_View'!D27</f>
        <v/>
      </c>
      <c r="D18" s="30">
        <f>'03_Channel_View'!E27</f>
        <v/>
      </c>
      <c r="E18" s="30">
        <f>'03_Channel_View'!F27</f>
        <v/>
      </c>
      <c r="F18" s="30">
        <f>'03_Channel_View'!G27</f>
        <v/>
      </c>
      <c r="I18" t="inlineStr">
        <is>
          <t>COGS stress %</t>
        </is>
      </c>
      <c r="J18" s="22">
        <f>'01_Assumptions'!C19</f>
        <v/>
      </c>
    </row>
    <row r="19">
      <c r="I19" t="inlineStr">
        <is>
          <t>Target CM %</t>
        </is>
      </c>
      <c r="J19" s="22">
        <f>'01_Assumptions'!C20</f>
        <v/>
      </c>
    </row>
    <row r="20">
      <c r="B20" s="14" t="inlineStr">
        <is>
          <t>Chart data</t>
        </is>
      </c>
    </row>
    <row r="21">
      <c r="B21" t="inlineStr">
        <is>
          <t>SKU</t>
        </is>
      </c>
      <c r="C21" t="inlineStr">
        <is>
          <t>Ann CM $000</t>
        </is>
      </c>
    </row>
    <row r="22">
      <c r="B22">
        <f>'02_Unit_P&amp;L'!B6</f>
        <v/>
      </c>
      <c r="C22" s="44">
        <f>'02_Unit_P&amp;L'!L6</f>
        <v/>
      </c>
    </row>
    <row r="23">
      <c r="B23">
        <f>'02_Unit_P&amp;L'!B7</f>
        <v/>
      </c>
      <c r="C23" s="44">
        <f>'02_Unit_P&amp;L'!L7</f>
        <v/>
      </c>
    </row>
    <row r="24">
      <c r="B24">
        <f>'02_Unit_P&amp;L'!B8</f>
        <v/>
      </c>
      <c r="C24" s="44">
        <f>'02_Unit_P&amp;L'!L8</f>
        <v/>
      </c>
    </row>
    <row r="25">
      <c r="B25">
        <f>'02_Unit_P&amp;L'!B9</f>
        <v/>
      </c>
      <c r="C25" s="44">
        <f>'02_Unit_P&amp;L'!L9</f>
        <v/>
      </c>
    </row>
    <row r="26">
      <c r="B26">
        <f>'02_Unit_P&amp;L'!B10</f>
        <v/>
      </c>
      <c r="C26" s="44">
        <f>'02_Unit_P&amp;L'!L10</f>
        <v/>
      </c>
    </row>
    <row r="27">
      <c r="B27">
        <f>'02_Unit_P&amp;L'!B11</f>
        <v/>
      </c>
      <c r="C27" s="44">
        <f>'02_Unit_P&amp;L'!L11</f>
        <v/>
      </c>
    </row>
    <row r="28">
      <c r="B28" s="45" t="inlineStr">
        <is>
          <t>Edit Assumptions (yellow) → Unit P&amp;L / Channel / Ramp recalculate → this dashboard updates  ·  fictional sample</t>
        </is>
      </c>
    </row>
  </sheetData>
  <mergeCells count="22">
    <mergeCell ref="F4:G4"/>
    <mergeCell ref="B2:M2"/>
    <mergeCell ref="K5:L5"/>
    <mergeCell ref="J9:L9"/>
    <mergeCell ref="B1:M1"/>
    <mergeCell ref="J11:L11"/>
    <mergeCell ref="B28:M28"/>
    <mergeCell ref="F5:G5"/>
    <mergeCell ref="J12:L12"/>
    <mergeCell ref="I5:J5"/>
    <mergeCell ref="D4:E4"/>
    <mergeCell ref="J8:L8"/>
    <mergeCell ref="I7:L7"/>
    <mergeCell ref="I16:L16"/>
    <mergeCell ref="I4:J4"/>
    <mergeCell ref="J14:L14"/>
    <mergeCell ref="J10:L10"/>
    <mergeCell ref="B5:C5"/>
    <mergeCell ref="J13:L13"/>
    <mergeCell ref="D5:E5"/>
    <mergeCell ref="K4:L4"/>
    <mergeCell ref="B4:C4"/>
  </mergeCells>
  <conditionalFormatting sqref="D9:D14">
    <cfRule type="expression" priority="1" dxfId="0">
      <formula>D9="Green"</formula>
    </cfRule>
    <cfRule type="expression" priority="2" dxfId="1">
      <formula>D9="Amber"</formula>
    </cfRule>
    <cfRule type="expression" priority="3" dxfId="2">
      <formula>D9="Red"</formula>
    </cfRule>
  </conditionalFormatting>
  <pageMargins left="0.4" right="0.4" top="0.4" bottom="0.4" header="0.5" footer="0.5"/>
  <pageSetup orientation="landscape" paperSize="1" fitToHeight="1" fitToWidth="1"/>
  <headerFooter>
    <oddHeader/>
    <oddFooter>&amp;LNorthline Consumer Products  |  fictional sample  |  $000s where noted&amp;RCONFIDENTIAL — portfolio sample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70" customWidth="1" min="4" max="4"/>
  </cols>
  <sheetData>
    <row r="2">
      <c r="B2" s="1" t="inlineStr">
        <is>
          <t>06  ·  Data Dictionary</t>
        </is>
      </c>
    </row>
    <row r="3">
      <c r="B3" s="3" t="inlineStr">
        <is>
          <t>Field definitions so another analyst can inherit the file.</t>
        </is>
      </c>
    </row>
    <row r="5">
      <c r="B5" s="15" t="inlineStr">
        <is>
          <t>Field</t>
        </is>
      </c>
      <c r="C5" s="15" t="inlineStr">
        <is>
          <t>Tab</t>
        </is>
      </c>
      <c r="D5" s="15" t="inlineStr">
        <is>
          <t>Definition</t>
        </is>
      </c>
    </row>
    <row r="6" ht="30" customHeight="1">
      <c r="B6" s="10" t="inlineStr">
        <is>
          <t>SKU / Product</t>
        </is>
      </c>
      <c r="C6" s="11" t="inlineStr">
        <is>
          <t>01_Assumptions</t>
        </is>
      </c>
      <c r="D6" s="46" t="inlineStr">
        <is>
          <t>Fictional Northline assortment codes and names.</t>
        </is>
      </c>
    </row>
    <row r="7" ht="30" customHeight="1">
      <c r="B7" s="10" t="inlineStr">
        <is>
          <t>Price $</t>
        </is>
      </c>
      <c r="C7" s="11" t="inlineStr">
        <is>
          <t>01_Assumptions</t>
        </is>
      </c>
      <c r="D7" s="46" t="inlineStr">
        <is>
          <t>List / shelf price per unit before channel fees.</t>
        </is>
      </c>
    </row>
    <row r="8" ht="30" customHeight="1">
      <c r="B8" s="10" t="inlineStr">
        <is>
          <t>COGS $</t>
        </is>
      </c>
      <c r="C8" s="11" t="inlineStr">
        <is>
          <t>01_Assumptions</t>
        </is>
      </c>
      <c r="D8" s="46" t="inlineStr">
        <is>
          <t>Variable product cost per unit.</t>
        </is>
      </c>
    </row>
    <row r="9" ht="30" customHeight="1">
      <c r="B9" s="10" t="inlineStr">
        <is>
          <t>Var sell $</t>
        </is>
      </c>
      <c r="C9" s="11" t="inlineStr">
        <is>
          <t>01_Assumptions</t>
        </is>
      </c>
      <c r="D9" s="46" t="inlineStr">
        <is>
          <t>Variable selling cost per unit (freight-out, broker, etc.).</t>
        </is>
      </c>
    </row>
    <row r="10" ht="30" customHeight="1">
      <c r="B10" s="10" t="inlineStr">
        <is>
          <t>Slotting $000</t>
        </is>
      </c>
      <c r="C10" s="11" t="inlineStr">
        <is>
          <t>01_Assumptions</t>
        </is>
      </c>
      <c r="D10" s="46" t="inlineStr">
        <is>
          <t>Annualized slotting / listing fees in $000s. Launch SKU also has monthly CAC on the ramp tab.</t>
        </is>
      </c>
    </row>
    <row r="11" ht="30" customHeight="1">
      <c r="B11" s="10" t="inlineStr">
        <is>
          <t>Ann vol (000)</t>
        </is>
      </c>
      <c r="C11" s="11" t="inlineStr">
        <is>
          <t>01_Assumptions</t>
        </is>
      </c>
      <c r="D11" s="46" t="inlineStr">
        <is>
          <t>Annual volume in thousands of units.</t>
        </is>
      </c>
    </row>
    <row r="12" ht="30" customHeight="1">
      <c r="B12" s="10" t="inlineStr">
        <is>
          <t>Price / COGS stress %</t>
        </is>
      </c>
      <c r="C12" s="11" t="inlineStr">
        <is>
          <t>01_Assumptions</t>
        </is>
      </c>
      <c r="D12" s="46" t="inlineStr">
        <is>
          <t>Global toggles applied on Unit P&amp;L to sensitivity-test margin.</t>
        </is>
      </c>
    </row>
    <row r="13" ht="30" customHeight="1">
      <c r="B13" s="10" t="inlineStr">
        <is>
          <t>Target CM %</t>
        </is>
      </c>
      <c r="C13" s="11" t="inlineStr">
        <is>
          <t>01_Assumptions</t>
        </is>
      </c>
      <c r="D13" s="46" t="inlineStr">
        <is>
          <t>Hurdle contribution margin for RAG.</t>
        </is>
      </c>
    </row>
    <row r="14" ht="30" customHeight="1">
      <c r="B14" s="10" t="inlineStr">
        <is>
          <t>Unit contrib $</t>
        </is>
      </c>
      <c r="C14" s="11" t="inlineStr">
        <is>
          <t>02_Unit_P&amp;L</t>
        </is>
      </c>
      <c r="D14" s="46" t="inlineStr">
        <is>
          <t>Price − COGS − Var sell (after stress). Key output.</t>
        </is>
      </c>
    </row>
    <row r="15" ht="30" customHeight="1">
      <c r="B15" s="10" t="inlineStr">
        <is>
          <t>CM %</t>
        </is>
      </c>
      <c r="C15" s="11" t="inlineStr">
        <is>
          <t>02_Unit_P&amp;L</t>
        </is>
      </c>
      <c r="D15" s="46" t="inlineStr">
        <is>
          <t>Unit contrib ÷ Price.</t>
        </is>
      </c>
    </row>
    <row r="16" ht="30" customHeight="1">
      <c r="B16" s="10" t="inlineStr">
        <is>
          <t>Ann contrib $000</t>
        </is>
      </c>
      <c r="C16" s="11" t="inlineStr">
        <is>
          <t>02_Unit_P&amp;L</t>
        </is>
      </c>
      <c r="D16" s="46" t="inlineStr">
        <is>
          <t>Unit contrib $ × annual volume (000).</t>
        </is>
      </c>
    </row>
    <row r="17" ht="30" customHeight="1">
      <c r="B17" s="10" t="inlineStr">
        <is>
          <t>Ann CM after slot $000</t>
        </is>
      </c>
      <c r="C17" s="11" t="inlineStr">
        <is>
          <t>02_Unit_P&amp;L</t>
        </is>
      </c>
      <c r="D17" s="46" t="inlineStr">
        <is>
          <t>Annual contribution minus slotting $000s.</t>
        </is>
      </c>
    </row>
    <row r="18" ht="30" customHeight="1">
      <c r="B18" s="10" t="inlineStr">
        <is>
          <t>Channel mix %</t>
        </is>
      </c>
      <c r="C18" s="11" t="inlineStr">
        <is>
          <t>03_Channel_View</t>
        </is>
      </c>
      <c r="D18" s="46" t="inlineStr">
        <is>
          <t>Share of SKU volume by Grocery / Club / eComm / Convenience. Yellow inputs.</t>
        </is>
      </c>
    </row>
    <row r="19" ht="30" customHeight="1">
      <c r="B19" s="10" t="inlineStr">
        <is>
          <t>Channel fee %</t>
        </is>
      </c>
      <c r="C19" s="11" t="inlineStr">
        <is>
          <t>03_Channel_View</t>
        </is>
      </c>
      <c r="D19" s="46" t="inlineStr">
        <is>
          <t>Retailer or platform take as % of price. Yellow inputs.</t>
        </is>
      </c>
    </row>
    <row r="20" ht="30" customHeight="1">
      <c r="B20" s="10" t="inlineStr">
        <is>
          <t>Unit CM $ after fee</t>
        </is>
      </c>
      <c r="C20" s="11" t="inlineStr">
        <is>
          <t>03_Channel_View</t>
        </is>
      </c>
      <c r="D20" s="46" t="inlineStr">
        <is>
          <t>Unit contrib − Price × blended fee %.</t>
        </is>
      </c>
    </row>
    <row r="21" ht="30" customHeight="1">
      <c r="B21" s="10" t="inlineStr">
        <is>
          <t>Channel $000s</t>
        </is>
      </c>
      <c r="C21" s="11" t="inlineStr">
        <is>
          <t>03_Channel_View</t>
        </is>
      </c>
      <c r="D21" s="46" t="inlineStr">
        <is>
          <t>Volume × mix × unit CM after fee, by channel.</t>
        </is>
      </c>
    </row>
    <row r="22" ht="30" customHeight="1">
      <c r="B22" s="10" t="inlineStr">
        <is>
          <t>Ramp volume / spend</t>
        </is>
      </c>
      <c r="C22" s="11" t="inlineStr">
        <is>
          <t>04_Cohort_or_Ramp</t>
        </is>
      </c>
      <c r="D22" s="46" t="inlineStr">
        <is>
          <t>Monthly 000 units and launch spend $000s for NL-PROBIO (yellow).</t>
        </is>
      </c>
    </row>
    <row r="23" ht="30" customHeight="1">
      <c r="B23" s="10" t="inlineStr">
        <is>
          <t>Cumulative net $000s</t>
        </is>
      </c>
      <c r="C23" s="11" t="inlineStr">
        <is>
          <t>04_Cohort_or_Ramp</t>
        </is>
      </c>
      <c r="D23" s="46" t="inlineStr">
        <is>
          <t>Running sum of (monthly contribution − launch spend). Payback when it crosses ≥ 0.</t>
        </is>
      </c>
    </row>
    <row r="24" ht="30" customHeight="1">
      <c r="B24" s="10" t="inlineStr">
        <is>
          <t>Payback month #</t>
        </is>
      </c>
      <c r="C24" s="11" t="inlineStr">
        <is>
          <t>04_Cohort_or_Ramp</t>
        </is>
      </c>
      <c r="D24" s="46" t="inlineStr">
        <is>
          <t>First month cumulative net ≥ 0. Compared to hurdle on Assumptions.</t>
        </is>
      </c>
    </row>
    <row r="25" ht="30" customHeight="1">
      <c r="B25" s="10" t="inlineStr">
        <is>
          <t>Dashboard</t>
        </is>
      </c>
      <c r="C25" s="11" t="inlineStr">
        <is>
          <t>05_Dashboard</t>
        </is>
      </c>
      <c r="D25" s="46" t="inlineStr">
        <is>
          <t>One-pager: portfolio tiles, SKU rank, channel totals, launch snapshot.</t>
        </is>
      </c>
    </row>
    <row r="26" ht="30" customHeight="1">
      <c r="B26" s="10" t="inlineStr">
        <is>
          <t>Color convention</t>
        </is>
      </c>
      <c r="C26" s="11" t="inlineStr">
        <is>
          <t>All</t>
        </is>
      </c>
      <c r="D26" s="46" t="inlineStr">
        <is>
          <t>Yellow + blue font = inputs. Black font = formulas. Green/Amber/Red = RAG.</t>
        </is>
      </c>
    </row>
    <row r="27" ht="30" customHeight="1">
      <c r="B27" s="10" t="inlineStr">
        <is>
          <t>Units</t>
        </is>
      </c>
      <c r="C27" s="11" t="inlineStr">
        <is>
          <t>All</t>
        </is>
      </c>
      <c r="D27" s="46" t="inlineStr">
        <is>
          <t>Per-unit in $. Annual flows in $000s. Volume in 000 units.</t>
        </is>
      </c>
    </row>
    <row r="29">
      <c r="B29" s="14" t="inlineStr">
        <is>
          <t>All sample numbers are fictional. Built for a public GitHub portfolio — no employer data.</t>
        </is>
      </c>
    </row>
  </sheetData>
  <pageMargins left="0.75" right="0.75" top="1" bottom="1" header="0.5" footer="0.5"/>
  <pageSetup orientation="landscape" paperSize="1" fitToHeight="1" fitToWidth="1"/>
  <headerFooter>
    <oddHeader/>
    <oddFooter>&amp;LNorthline Consumer Products  |  fictional sample  |  $000s where noted&amp;RCONFIDENTIAL — portfolio sample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2026-09-11T19:01:19Z</dcterms:created>
  <dcterms:modified xsi:type="dcterms:W3CDTF">2026-09-11T19:01:19Z</dcterms:modified>
</cp:coreProperties>
</file>